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865" windowHeight="1323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5" borderId="8" applyAlignment="1">
      <alignment vertical="center"/>
    </xf>
    <xf numFmtId="0" fontId="16" fillId="6" borderId="9" applyAlignment="1">
      <alignment vertical="center"/>
    </xf>
    <xf numFmtId="0" fontId="17" fillId="6" borderId="8" applyAlignment="1">
      <alignment vertical="center"/>
    </xf>
    <xf numFmtId="0" fontId="18" fillId="7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49"/>
  <sheetViews>
    <sheetView tabSelected="1" workbookViewId="0">
      <selection activeCell="L6" sqref="L6"/>
    </sheetView>
  </sheetViews>
  <sheetFormatPr baseColWidth="8" defaultColWidth="8.61261261261261" defaultRowHeight="14.1"/>
  <cols>
    <col width="7.79279279279279" customWidth="1" style="19" min="1" max="1"/>
    <col width="12.7387387387387" customWidth="1" style="19" min="2" max="2"/>
    <col width="38.8378378378378" customWidth="1" style="19" min="4" max="4"/>
    <col width="22.0810810810811" customWidth="1" style="19" min="5" max="6"/>
    <col width="29.027027027027" customWidth="1" style="19" min="7" max="7"/>
  </cols>
  <sheetData>
    <row r="1" ht="46" customHeight="1" s="19">
      <c r="A1" s="2" t="inlineStr">
        <is>
          <t>火山引擎报价参考</t>
        </is>
      </c>
      <c r="B1" s="20" t="n"/>
      <c r="C1" s="20" t="n"/>
      <c r="D1" s="20" t="n"/>
      <c r="E1" s="20" t="n"/>
      <c r="F1" s="20" t="n"/>
      <c r="G1" s="21" t="n"/>
    </row>
    <row r="2" ht="36" customHeight="1" s="19">
      <c r="A2" s="3" t="n"/>
      <c r="B2" s="3" t="n"/>
      <c r="C2" s="3" t="n"/>
      <c r="D2" s="3" t="n"/>
      <c r="E2" s="3" t="n"/>
      <c r="F2" s="3" t="inlineStr">
        <is>
          <t>报价时间</t>
        </is>
      </c>
      <c r="G2" s="4">
        <f>TODAY()</f>
        <v>46314</v>
        <v/>
      </c>
    </row>
    <row r="3" ht="36" customHeight="1" s="19">
      <c r="A3" s="5" t="inlineStr">
        <is>
          <t>序号</t>
        </is>
      </c>
      <c r="B3" s="5" t="inlineStr">
        <is>
          <t>产品</t>
        </is>
      </c>
      <c r="C3" s="5" t="inlineStr">
        <is>
          <t>地域</t>
        </is>
      </c>
      <c r="D3" s="5" t="inlineStr">
        <is>
          <t>配置</t>
        </is>
      </c>
      <c r="E3" s="5" t="inlineStr">
        <is>
          <t>官网目录价/年</t>
        </is>
      </c>
      <c r="F3" s="5" t="inlineStr">
        <is>
          <t>官网刊例价/年</t>
        </is>
      </c>
      <c r="G3" s="5" t="inlineStr">
        <is>
          <t>备注</t>
        </is>
      </c>
    </row>
    <row r="4" ht="156.6" customHeight="1" s="19">
      <c r="A4" s="6" t="n">
        <v>1</v>
      </c>
      <c r="B4" s="10" t="inlineStr">
        <is>
          <t>云服务器</t>
        </is>
      </c>
      <c r="C4" s="10" t="inlineStr">
        <is>
          <t>华东2（上海）</t>
        </is>
      </c>
      <c r="D4" s="8" t="inlineStr">
        <is>
          <t>实例名称：ECS-starRocks-01
实例规格：ecs.g3a.4xlarge（16vCPU/64GiB）
系统盘：极速型SSD PL0  40GiB
数据盘：极速型SSD PL0  1024GiB ×2
镜像：CentOS 7.9 64位（安全加固）
计费类型：包年包月  时长：1年  数量：1台
私有网络：默认私有网络 / 默认子网
安全组：默认安全组
公网IP：未启用</t>
        </is>
      </c>
      <c r="E4" s="22">
        <f>23125.63+9604.58</f>
        <v>32730.21</v>
        <v/>
      </c>
      <c r="F4" s="22" t="n">
        <v>23125.63</v>
      </c>
      <c r="G4" s="10" t="n"/>
    </row>
    <row r="5" ht="156.6" customHeight="1" s="19">
      <c r="A5" s="6" t="n">
        <v>2</v>
      </c>
      <c r="B5" s="10" t="inlineStr">
        <is>
          <t>云服务器</t>
        </is>
      </c>
      <c r="C5" s="10" t="inlineStr">
        <is>
          <t>华东2（上海）</t>
        </is>
      </c>
      <c r="D5" s="8" t="inlineStr">
        <is>
          <t>实例名称：ECS-starRocks-02
实例规格：ecs.r4i.xlarge（4vCPU/32GiB）
系统盘：极速型SSD PL0  40GiB
数据盘：极速型SSD PL0  1024GiB
镜像：CentOS 7.9 64位（安全加固）
计费类型：包年包月  时长：1年  数量：1台
私有网络：默认私有网络 / 默认子网
安全组：默认安全组
公网IP：未启用</t>
        </is>
      </c>
      <c r="E5" s="22">
        <f>9804.48+3731.52</f>
        <v>13536</v>
        <v/>
      </c>
      <c r="F5" s="22" t="n">
        <v>9804.48</v>
      </c>
      <c r="G5" s="10" t="n"/>
    </row>
    <row r="6" ht="156.6" customHeight="1" s="19">
      <c r="A6" s="6" t="n">
        <v>3</v>
      </c>
      <c r="B6" s="10" t="inlineStr">
        <is>
          <t>云服务器</t>
        </is>
      </c>
      <c r="C6" s="10" t="inlineStr">
        <is>
          <t>华东2（上海）</t>
        </is>
      </c>
      <c r="D6" s="8" t="inlineStr">
        <is>
          <t>实例名称：ECS-starRocks-03
实例规格：ecs.r4i.xlarge（4vCPU/32GiB）
系统盘：极速型SSD PL0  40GiB
数据盘：极速型SSD PL0  1024GiB
镜像：CentOS 7.9 64位（安全加固）
计费类型：包年包月  时长：1年  数量：1台
私有网络：默认私有网络 / 默认子网
安全组：默认安全组
公网IP：未启用</t>
        </is>
      </c>
      <c r="E6" s="22">
        <f>9804.48+3731.52</f>
        <v>13536</v>
        <v/>
      </c>
      <c r="F6" s="22" t="n">
        <v>9804.48</v>
      </c>
      <c r="G6" s="10" t="n"/>
    </row>
    <row r="7" ht="156.6" customHeight="1" s="19">
      <c r="A7" s="6" t="n">
        <v>4</v>
      </c>
      <c r="B7" s="10" t="inlineStr">
        <is>
          <t>云服务器</t>
        </is>
      </c>
      <c r="C7" s="10" t="inlineStr">
        <is>
          <t>华东2（上海）</t>
        </is>
      </c>
      <c r="D7" s="8" t="inlineStr">
        <is>
          <t>实例名称：ECS-wcy-prod-front
实例规格：ecs.g3a.xlarge（4vCPU/16GiB）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7" s="22">
        <f>4377.05+2113.51</f>
        <v>6490.56</v>
        <v/>
      </c>
      <c r="F7" s="22" t="n">
        <v>4377.05</v>
      </c>
      <c r="G7" s="10" t="n"/>
    </row>
    <row r="8" ht="156.6" customHeight="1" s="19">
      <c r="A8" s="6" t="n">
        <v>5</v>
      </c>
      <c r="B8" s="10" t="inlineStr">
        <is>
          <t>云服务器</t>
        </is>
      </c>
      <c r="C8" s="10" t="inlineStr">
        <is>
          <t>华东2（上海）</t>
        </is>
      </c>
      <c r="D8" s="8" t="inlineStr">
        <is>
          <t>实例名称：ECS-wcy-uat-db
实例规格：ecs.r3a.large（2vCPU/16GiB）
系统盘：极速型SSD PL0  40GiB
数据盘：极速型SSD PL0  300GiB
镜像：CentOS 7.9 64位（安全加固）
计费类型：包年包月  时长：1年  数量：1台
私有网络：默认私有网络 / 默认子网
安全组：默认安全组
公网IP：未启用</t>
        </is>
      </c>
      <c r="E8" s="22">
        <f>3849.08+1612.96</f>
        <v>5462.04</v>
        <v/>
      </c>
      <c r="F8" s="22" t="n">
        <v>3849.08</v>
      </c>
      <c r="G8" s="10" t="n"/>
    </row>
    <row r="9" ht="156.6" customHeight="1" s="19">
      <c r="A9" s="6" t="n">
        <v>6</v>
      </c>
      <c r="B9" s="10" t="inlineStr">
        <is>
          <t>云服务器</t>
        </is>
      </c>
      <c r="C9" s="10" t="inlineStr">
        <is>
          <t>华东2（上海）</t>
        </is>
      </c>
      <c r="D9" s="8" t="inlineStr">
        <is>
          <t>实例名称：ECS-wcy-uat-front
实例规格：ecs.g3a.large（2vCPU/8GiB）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9" s="22">
        <f>2786.12+1179.16</f>
        <v>3965.28</v>
        <v/>
      </c>
      <c r="F9" s="22" t="n">
        <v>2786.12</v>
      </c>
      <c r="G9" s="10" t="n"/>
    </row>
    <row r="10" ht="156.6" customHeight="1" s="19">
      <c r="A10" s="6" t="n">
        <v>7</v>
      </c>
      <c r="B10" s="10" t="inlineStr">
        <is>
          <t>云服务器</t>
        </is>
      </c>
      <c r="C10" s="10" t="inlineStr">
        <is>
          <t>华东2（上海）</t>
        </is>
      </c>
      <c r="D10" s="8" t="inlineStr">
        <is>
          <t>实例名称：ECS-wcy-uat-mq
实例规格：ecs.r3a.xlarge（4vCPU/32GiB）
系统盘：极速型SSD PL0  40GiB
数据盘：极速型SSD PL0  300GiB
镜像：CentOS 7.9 64位（安全加固）
计费类型：包年包月  时长：1年  数量：1台
私有网络：默认私有网络 / 默认子网
安全组：默认安全组
公网IP：未启用</t>
        </is>
      </c>
      <c r="E10" s="22">
        <f>6004.97+2879.11</f>
        <v>8884.08</v>
        <v/>
      </c>
      <c r="F10" s="22" t="n">
        <v>6004.97</v>
      </c>
      <c r="G10" s="10" t="n"/>
    </row>
    <row r="11" ht="156.6" customHeight="1" s="19">
      <c r="A11" s="6" t="n">
        <v>8</v>
      </c>
      <c r="B11" s="10" t="inlineStr">
        <is>
          <t>云服务器</t>
        </is>
      </c>
      <c r="C11" s="10" t="inlineStr">
        <is>
          <t>华东2（上海）</t>
        </is>
      </c>
      <c r="D11" s="8" t="inlineStr">
        <is>
          <t>实例名称：ECS-wcy-uat-starRocks
实例规格：ecs.g3a.2xlarge（8vCPU/32GiB）
系统盘：极速型SSD PL0  40GiB
数据盘：极速型SSD PL0  300GiB ×3
镜像：CentOS 7.9 64位（安全加固）
计费类型：包年包月  时长：1年  数量：1台
私有网络：默认私有网络 / 默认子网
安全组：默认安全组
公网IP：未启用</t>
        </is>
      </c>
      <c r="E11" s="22">
        <f>11044.90+4696.22</f>
        <v>15741.12</v>
        <v/>
      </c>
      <c r="F11" s="22" t="n">
        <v>11044.9</v>
      </c>
      <c r="G11" s="10" t="n"/>
    </row>
    <row r="12" ht="156.6" customHeight="1" s="19">
      <c r="A12" s="6" t="n">
        <v>9</v>
      </c>
      <c r="B12" s="10" t="inlineStr">
        <is>
          <t>云服务器</t>
        </is>
      </c>
      <c r="C12" s="10" t="inlineStr">
        <is>
          <t>华东2（上海）</t>
        </is>
      </c>
      <c r="D12" s="8" t="inlineStr">
        <is>
          <t>实例名称：cd61phgl6mcnj53fq4oag-node-0000000
实例规格：ecs.r3a.2xlarge（8vCPU/64GiB）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2" s="22">
        <f>9818.73+5309.43</f>
        <v>15128.16</v>
        <v/>
      </c>
      <c r="F12" s="22" t="n">
        <v>9818.73</v>
      </c>
      <c r="G12" s="10" t="n"/>
    </row>
    <row r="13" ht="156.6" customHeight="1" s="19">
      <c r="A13" s="6" t="n">
        <v>10</v>
      </c>
      <c r="B13" s="10" t="inlineStr">
        <is>
          <t>云服务器</t>
        </is>
      </c>
      <c r="C13" s="10" t="inlineStr">
        <is>
          <t>华东2（上海）</t>
        </is>
      </c>
      <c r="D13" s="8" t="inlineStr">
        <is>
          <t>实例名称：cd61phgl6mcnj53fq4oag-node-0000001
实例规格：ecs.r3a.2xlarge（8vCPU/64GiB）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3" s="22">
        <f>9818.73+5309.43</f>
        <v>15128.16</v>
        <v/>
      </c>
      <c r="F13" s="22" t="n">
        <v>9818.73</v>
      </c>
      <c r="G13" s="10" t="n"/>
    </row>
    <row r="14" ht="156.6" customHeight="1" s="19">
      <c r="A14" s="6" t="n">
        <v>11</v>
      </c>
      <c r="B14" s="10" t="inlineStr">
        <is>
          <t>云服务器</t>
        </is>
      </c>
      <c r="C14" s="10" t="inlineStr">
        <is>
          <t>华东2（上海）</t>
        </is>
      </c>
      <c r="D14" s="8" t="inlineStr">
        <is>
          <t>实例名称：cd61phgl6mcnj53fq4oag-node-0000002
实例规格：ecs.r3a.2xlarge（8vCPU/64GiB）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4" s="22">
        <f>9818.73+5309.43</f>
        <v>15128.16</v>
        <v/>
      </c>
      <c r="F14" s="22" t="n">
        <v>9818.73</v>
      </c>
      <c r="G14" s="10" t="n"/>
    </row>
    <row r="15" ht="156.6" customHeight="1" s="19">
      <c r="A15" s="6" t="n">
        <v>12</v>
      </c>
      <c r="B15" s="10" t="inlineStr">
        <is>
          <t>云服务器</t>
        </is>
      </c>
      <c r="C15" s="10" t="inlineStr">
        <is>
          <t>华东2（上海）</t>
        </is>
      </c>
      <c r="D15" s="8" t="inlineStr">
        <is>
          <t>实例名称：prod-node-0000000
实例规格：ecs.r3a.4xlarge（16vCPU/128GiB）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5" s="22">
        <f>18442.26+10374.06</f>
        <v>28816.32</v>
        <v/>
      </c>
      <c r="F15" s="22" t="n">
        <v>18442.26</v>
      </c>
      <c r="G15" s="10" t="n"/>
    </row>
    <row r="16" ht="156.6" customHeight="1" s="19">
      <c r="A16" s="6" t="n">
        <v>13</v>
      </c>
      <c r="B16" s="10" t="inlineStr">
        <is>
          <t>云服务器</t>
        </is>
      </c>
      <c r="C16" s="10" t="inlineStr">
        <is>
          <t>华东2（上海）</t>
        </is>
      </c>
      <c r="D16" s="8" t="inlineStr">
        <is>
          <t>实例名称：prod-node-0000001
实例规格：ecs.r3a.4xlarge（16vCPU/128GiB）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6" s="22">
        <f>18442.26+10374.06</f>
        <v>28816.32</v>
        <v/>
      </c>
      <c r="F16" s="22" t="n">
        <v>18442.26</v>
      </c>
      <c r="G16" s="10" t="n"/>
    </row>
    <row r="17" ht="156.6" customHeight="1" s="19">
      <c r="A17" s="6" t="n">
        <v>14</v>
      </c>
      <c r="B17" s="10" t="inlineStr">
        <is>
          <t>云服务器</t>
        </is>
      </c>
      <c r="C17" s="10" t="inlineStr">
        <is>
          <t>华东2（上海）</t>
        </is>
      </c>
      <c r="D17" s="8" t="inlineStr">
        <is>
          <t>实例名称：prod-node-0000002
实例规格：ecs.r3a.4xlarge（16vCPU/128GiB）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7" s="22">
        <f>18442.26+10374.06</f>
        <v>28816.32</v>
        <v/>
      </c>
      <c r="F17" s="22" t="n">
        <v>18442.26</v>
      </c>
      <c r="G17" s="10" t="n"/>
    </row>
    <row r="18" ht="156.6" customHeight="1" s="19">
      <c r="A18" s="6" t="n">
        <v>15</v>
      </c>
      <c r="B18" s="10" t="inlineStr">
        <is>
          <t>云服务器</t>
        </is>
      </c>
      <c r="C18" s="10" t="inlineStr">
        <is>
          <t>华东2（上海）</t>
        </is>
      </c>
      <c r="D18" s="8" t="inlineStr">
        <is>
          <t>实例名称：prod-node-0000003
实例规格：ecs.r3a.4xlarge（16vCPU/128GiB）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8" s="22">
        <f>18442.26+10374.06</f>
        <v>28816.32</v>
        <v/>
      </c>
      <c r="F18" s="22" t="n">
        <v>18442.26</v>
      </c>
      <c r="G18" s="10" t="n"/>
    </row>
    <row r="19" ht="156.6" customHeight="1" s="19">
      <c r="A19" s="6" t="n">
        <v>16</v>
      </c>
      <c r="B19" s="10" t="inlineStr">
        <is>
          <t>云服务器</t>
        </is>
      </c>
      <c r="C19" s="10" t="inlineStr">
        <is>
          <t>华东2（上海）</t>
        </is>
      </c>
      <c r="D19" s="8" t="inlineStr">
        <is>
          <t>实例名称：prod-node-0000004
实例规格：ecs.r3a.4xlarge（16vCPU/128GiB）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19" s="22">
        <f>18442.26+10374.06</f>
        <v>28816.32</v>
        <v/>
      </c>
      <c r="F19" s="22" t="n">
        <v>18442.26</v>
      </c>
      <c r="G19" s="10" t="n"/>
    </row>
    <row r="20" ht="156.6" customHeight="1" s="19">
      <c r="A20" s="6" t="n">
        <v>17</v>
      </c>
      <c r="B20" s="10" t="inlineStr">
        <is>
          <t>云服务器</t>
        </is>
      </c>
      <c r="C20" s="10" t="inlineStr">
        <is>
          <t>华东2（上海）</t>
        </is>
      </c>
      <c r="D20" s="8" t="inlineStr">
        <is>
          <t>实例名称：wcy-prod-AI
实例规格：ecs.g3a.xlarge（4vCPU/16GiB）
系统盘：极速型SSD PL0  20GiB
数据盘：极速型SSD PL0  500GiB
镜像：CentOS 7.9 64位（安全加固）
计费类型：包年包月  时长：1年  数量：1台
私有网络：默认私有网络 / 默认子网
安全组：默认安全组
公网IP：未启用</t>
        </is>
      </c>
      <c r="E20" s="22">
        <f>5771.45+2399.11</f>
        <v>8170.56</v>
        <v/>
      </c>
      <c r="F20" s="22" t="n">
        <v>5771.45</v>
      </c>
      <c r="G20" s="10" t="n"/>
    </row>
    <row r="21" ht="156.6" customHeight="1" s="19">
      <c r="A21" s="6" t="n">
        <v>18</v>
      </c>
      <c r="B21" s="10" t="inlineStr">
        <is>
          <t>云服务器</t>
        </is>
      </c>
      <c r="C21" s="10" t="inlineStr">
        <is>
          <t>华东2（上海）</t>
        </is>
      </c>
      <c r="D21" s="8" t="inlineStr">
        <is>
          <t>实例名称：wcy-prod-TiDB-001
实例规格：ecs.g3a.4xlarge（16vCPU/64GiB）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21" s="22">
        <f>13922.59+7719.65</f>
        <v>21642.24</v>
        <v/>
      </c>
      <c r="F21" s="22" t="n">
        <v>13922.59</v>
      </c>
      <c r="G21" s="10" t="n"/>
    </row>
    <row r="22" ht="156.6" customHeight="1" s="19">
      <c r="A22" s="6" t="n">
        <v>19</v>
      </c>
      <c r="B22" s="10" t="inlineStr">
        <is>
          <t>云服务器</t>
        </is>
      </c>
      <c r="C22" s="10" t="inlineStr">
        <is>
          <t>华东2（上海）</t>
        </is>
      </c>
      <c r="D22" s="8" t="inlineStr">
        <is>
          <t>实例名称：wcy-prod-TiDB-002
实例规格：ecs.g3a.4xlarge（16vCPU/64GiB）
系统盘：极速型SSD PL0  40GiB
数据盘：极速型SSD PL0  500GiB
镜像：CentOS 7.9 64位（安全加固）
计费类型：包年包月  时长：1年  数量：1台
私有网络：默认私有网络 / 默认子网
安全组：默认安全组
公网IP：未启用</t>
        </is>
      </c>
      <c r="E22" s="22">
        <f>15416.59+8025.65</f>
        <v>23442.24</v>
        <v/>
      </c>
      <c r="F22" s="22" t="n">
        <v>15416.59</v>
      </c>
      <c r="G22" s="10" t="n"/>
    </row>
    <row r="23" ht="156.6" customHeight="1" s="19">
      <c r="A23" s="6" t="n">
        <v>20</v>
      </c>
      <c r="B23" s="10" t="inlineStr">
        <is>
          <t>云服务器</t>
        </is>
      </c>
      <c r="C23" s="10" t="inlineStr">
        <is>
          <t>华东2（上海）</t>
        </is>
      </c>
      <c r="D23" s="8" t="inlineStr">
        <is>
          <t>实例名称：wcy-prod-TiDB-003
实例规格：ecs.g3a.4xlarge（16vCPU/64GiB）
系统盘：极速型SSD PL0  40GiB
数据盘：极速型SSD PL0  200GiB
镜像：CentOS 7.9 64位（安全加固）
计费类型：包年包月  时长：1年  数量：1台
私有网络：默认私有网络 / 默认子网
安全组：默认安全组
公网IP：未启用</t>
        </is>
      </c>
      <c r="E23" s="22">
        <f>13922.59+7719.65</f>
        <v>21642.24</v>
        <v/>
      </c>
      <c r="F23" s="22" t="n">
        <v>13922.59</v>
      </c>
      <c r="G23" s="10" t="n"/>
    </row>
    <row r="24" ht="156.6" customHeight="1" s="19">
      <c r="A24" s="6" t="n">
        <v>21</v>
      </c>
      <c r="B24" s="10" t="inlineStr">
        <is>
          <t>云服务器</t>
        </is>
      </c>
      <c r="C24" s="10" t="inlineStr">
        <is>
          <t>华东2（上海）</t>
        </is>
      </c>
      <c r="D24" s="8" t="inlineStr">
        <is>
          <t>实例名称：wcy-prod-TiKV-001
实例规格：ecs.g3a.4xlarge（16vCPU/64GiB）
系统盘：极速型SSD PL0  40GiB
数据盘：极速型SSD PL0  1024GiB
镜像：CentOS 7.9 64位（安全加固）
计费类型：包年包月  时长：1年  数量：1台
私有网络：默认私有网络 / 默认子网
安全组：默认安全组
公网IP：未启用</t>
        </is>
      </c>
      <c r="E24" s="22">
        <f>18026.11+8560.13</f>
        <v>26586.24</v>
        <v/>
      </c>
      <c r="F24" s="22" t="n">
        <v>18026.11</v>
      </c>
      <c r="G24" s="10" t="n"/>
    </row>
    <row r="25" ht="156.6" customHeight="1" s="19">
      <c r="A25" s="6" t="n">
        <v>22</v>
      </c>
      <c r="B25" s="10" t="inlineStr">
        <is>
          <t>云服务器</t>
        </is>
      </c>
      <c r="C25" s="10" t="inlineStr">
        <is>
          <t>华东2（上海）</t>
        </is>
      </c>
      <c r="D25" s="8" t="inlineStr">
        <is>
          <t>实例名称：wcy-prod-TiKV-002
实例规格：ecs.g3a.4xlarge（16vCPU/64GiB）
系统盘：极速型SSD PL0  40GiB
数据盘：极速型SSD PL0  1024GiB
镜像：CentOS 7.9 64位（安全加固）
计费类型：包年包月  时长：1年  数量：1台
私有网络：默认私有网络 / 默认子网
安全组：默认安全组
公网IP：未启用</t>
        </is>
      </c>
      <c r="E25" s="22">
        <f>18026.11+8560.13</f>
        <v>26586.24</v>
        <v/>
      </c>
      <c r="F25" s="22" t="n">
        <v>18026.11</v>
      </c>
      <c r="G25" s="10" t="n"/>
    </row>
    <row r="26" ht="156.6" customHeight="1" s="19">
      <c r="A26" s="6" t="n">
        <v>23</v>
      </c>
      <c r="B26" s="10" t="inlineStr">
        <is>
          <t>云服务器</t>
        </is>
      </c>
      <c r="C26" s="10" t="inlineStr">
        <is>
          <t>华东2（上海）</t>
        </is>
      </c>
      <c r="D26" s="8" t="inlineStr">
        <is>
          <t>实例名称：wcy-prod-TiKV-003
实例规格：ecs.g3a.4xlarge（16vCPU/64GiB）
系统盘：极速型SSD PL0  40GiB
数据盘：极速型SSD PL0  1024GiB
镜像：CentOS 7.9 64位（安全加固）
计费类型：包年包月  时长：1年  数量：1台
私有网络：默认私有网络 / 默认子网
安全组：默认安全组
公网IP：未启用</t>
        </is>
      </c>
      <c r="E26" s="22">
        <f>18026.11+8560.13</f>
        <v>26586.24</v>
        <v/>
      </c>
      <c r="F26" s="22" t="n">
        <v>18026.11</v>
      </c>
      <c r="G26" s="10" t="n"/>
    </row>
    <row r="27" ht="87" customHeight="1" s="19">
      <c r="A27" s="6" t="n">
        <v>24</v>
      </c>
      <c r="B27" s="10" t="inlineStr">
        <is>
          <t>文档数据库 MongoDB 版</t>
        </is>
      </c>
      <c r="C27" s="10" t="inlineStr">
        <is>
          <t>华东2（上海）</t>
        </is>
      </c>
      <c r="D27" s="8" t="inlineStr">
        <is>
          <t>实例类型：MongoDB 副本集（包年包月）
节点规格：副本集-4核 16GB
节点数量：3
存储空间：600GiB
计费类型：包年包月  时长：1年</t>
        </is>
      </c>
      <c r="E27" s="22">
        <f>19440+6480</f>
        <v>25920</v>
        <v/>
      </c>
      <c r="F27" s="22" t="n">
        <v>19440</v>
      </c>
      <c r="G27" s="10" t="n"/>
    </row>
    <row r="28" ht="104.4" customHeight="1" s="19">
      <c r="A28" s="6" t="n">
        <v>25</v>
      </c>
      <c r="B28" s="10" t="inlineStr">
        <is>
          <t>云数据库 MySQL 版</t>
        </is>
      </c>
      <c r="C28" s="10" t="inlineStr">
        <is>
          <t>华东2（上海）</t>
        </is>
      </c>
      <c r="D28" s="8" t="inlineStr">
        <is>
          <t>实例类型：双节点（高可用）
规格类型：本地盘版-独享规格（包月）
节点规格：8C32G ×2、16C64G ×2
存储类型：LocalSSD
存储空间：1000GiB ×1、2000GiB ×1
计费类型：包年包月  时长：1年</t>
        </is>
      </c>
      <c r="E28" s="22">
        <f>93960+31320</f>
        <v>125280</v>
        <v/>
      </c>
      <c r="F28" s="22" t="n">
        <v>93960</v>
      </c>
      <c r="G28" s="10" t="n"/>
    </row>
    <row r="29" ht="87" customHeight="1" s="19">
      <c r="A29" s="6" t="n">
        <v>26</v>
      </c>
      <c r="B29" s="10" t="inlineStr">
        <is>
          <t>消息队列 RocketMQ版</t>
        </is>
      </c>
      <c r="C29" s="10" t="inlineStr">
        <is>
          <t>华东2（上海）</t>
        </is>
      </c>
      <c r="D29" s="8" t="inlineStr">
        <is>
          <t>版本：标准版（包年包月）
计算规格：rocketmq.n1.x2.tiny
存储规格：rocketmq.storage.high
实际存储空间：800GiB
计费类型：包年包月  时长：1年</t>
        </is>
      </c>
      <c r="E29" s="22">
        <f>23904+4896</f>
        <v>28800</v>
        <v/>
      </c>
      <c r="F29" s="22" t="n">
        <v>23904</v>
      </c>
      <c r="G29" s="10" t="n"/>
    </row>
    <row r="30" ht="87" customHeight="1" s="19">
      <c r="A30" s="6" t="n">
        <v>27</v>
      </c>
      <c r="B30" s="10" t="inlineStr">
        <is>
          <t>消息队列 Kafka版</t>
        </is>
      </c>
      <c r="C30" s="10" t="inlineStr">
        <is>
          <t>华东2（上海）</t>
        </is>
      </c>
      <c r="D30" s="8" t="inlineStr">
        <is>
          <t>版本：标准版（包年包月）
计算规格：kafka.20xrate.hw
存储规格：标准版-高速存储
实际存储空间：900GiB
计费类型：包年包月  时长：1年</t>
        </is>
      </c>
      <c r="E30" s="22">
        <f>19486.74+3991.26</f>
        <v>23478</v>
        <v/>
      </c>
      <c r="F30" s="22" t="n">
        <v>19486.74</v>
      </c>
      <c r="G30" s="10" t="n"/>
    </row>
    <row r="31" ht="69.59999999999999" customHeight="1" s="19">
      <c r="A31" s="6" t="n">
        <v>28</v>
      </c>
      <c r="B31" s="10" t="inlineStr">
        <is>
          <t>缓存数据库 Redis 版</t>
        </is>
      </c>
      <c r="C31" s="10" t="inlineStr">
        <is>
          <t>华东2（上海）</t>
        </is>
      </c>
      <c r="D31" s="8" t="inlineStr">
        <is>
          <t>版本：Redis 社区版
实例类型：主备（启用分片集群）
节点规格：2GiB ×1、4GiB ×1、2GiB ×1
计费类型：包月（分片集群单节点定价）</t>
        </is>
      </c>
      <c r="E31" s="22">
        <f>2937.60+2262.12</f>
        <v>5199.72</v>
        <v/>
      </c>
      <c r="F31" s="22" t="n">
        <v>2937.6</v>
      </c>
      <c r="G31" s="10" t="n"/>
    </row>
    <row r="32" ht="69.59999999999999" customHeight="1" s="19">
      <c r="A32" s="6" t="n">
        <v>29</v>
      </c>
      <c r="B32" s="10" t="inlineStr">
        <is>
          <t>数据库传输服务 DTS</t>
        </is>
      </c>
      <c r="C32" s="10" t="inlineStr">
        <is>
          <t>华东2（上海）</t>
        </is>
      </c>
      <c r="D32" s="8" t="inlineStr">
        <is>
          <t>计费类型：数据订阅-包月
计费单元：数据订阅-配置费用
数量：1
时长：1年</t>
        </is>
      </c>
      <c r="E32" s="22">
        <f>7171.20+1468.80</f>
        <v>8640</v>
        <v/>
      </c>
      <c r="F32" s="22" t="n">
        <v>7171.2</v>
      </c>
      <c r="G32" s="10" t="n"/>
    </row>
    <row r="33" ht="69.59999999999999" customHeight="1" s="19">
      <c r="A33" s="6" t="n">
        <v>30</v>
      </c>
      <c r="B33" s="10" t="inlineStr">
        <is>
          <t>NAT网关</t>
        </is>
      </c>
      <c r="C33" s="10" t="inlineStr">
        <is>
          <t>华东2（上海）</t>
        </is>
      </c>
      <c r="D33" s="8" t="inlineStr">
        <is>
          <t>规格：小型
计费类型：规格配置费-包月
数量：1个
时长：1年</t>
        </is>
      </c>
      <c r="E33" s="22">
        <f>3121.20+550.80</f>
        <v>3672</v>
        <v/>
      </c>
      <c r="F33" s="22" t="n">
        <v>3121.2</v>
      </c>
      <c r="G33" s="10" t="n"/>
    </row>
    <row r="34" ht="69.59999999999999" customHeight="1" s="19">
      <c r="A34" s="6" t="n">
        <v>31</v>
      </c>
      <c r="B34" s="10" t="inlineStr">
        <is>
          <t>Web应用防火墙</t>
        </is>
      </c>
      <c r="C34" s="10" t="inlineStr">
        <is>
          <t>国内通用</t>
        </is>
      </c>
      <c r="D34" s="8" t="inlineStr">
        <is>
          <t>版本：云WAF-基础版
实例：基础版实例 ×1
访问日志：1TiB
时长：1年</t>
        </is>
      </c>
      <c r="E34" s="22">
        <f>22920+0</f>
        <v>22920</v>
        <v/>
      </c>
      <c r="F34" s="22" t="n">
        <v>22920</v>
      </c>
      <c r="G34" s="10" t="n"/>
    </row>
    <row r="35" ht="87" customHeight="1" s="19">
      <c r="A35" s="6" t="n">
        <v>32</v>
      </c>
      <c r="B35" s="10" t="inlineStr">
        <is>
          <t>负载均衡</t>
        </is>
      </c>
      <c r="C35" s="10" t="inlineStr">
        <is>
          <t>华东2（上海）</t>
        </is>
      </c>
      <c r="D35" s="8" t="inlineStr">
        <is>
          <t>实例：CLB-uat-private（小型I）、CLB-wcy-prod-private（小型II）
网络类型：私网
计费类型：包月实例费+规格配置费
数量：2个
时长：1年</t>
        </is>
      </c>
      <c r="E35" s="22">
        <f>2478.60+437.40</f>
        <v>2916</v>
        <v/>
      </c>
      <c r="F35" s="22" t="n">
        <v>2478.6</v>
      </c>
      <c r="G35" s="10" t="n"/>
    </row>
    <row r="36" ht="87" customHeight="1" s="19">
      <c r="A36" s="6" t="n">
        <v>33</v>
      </c>
      <c r="B36" s="10" t="inlineStr">
        <is>
          <t>镜像仓库</t>
        </is>
      </c>
      <c r="C36" s="10" t="inlineStr">
        <is>
          <t>华东2（上海）</t>
        </is>
      </c>
      <c r="D36" s="8" t="inlineStr">
        <is>
          <t>版本：小微版
计费类型：混合计费（包月）
实例：小微版实例 ×1
数量：1个
时长：1年</t>
        </is>
      </c>
      <c r="E36" s="22">
        <f>498+102</f>
        <v>600</v>
        <v/>
      </c>
      <c r="F36" s="22" t="n">
        <v>498</v>
      </c>
      <c r="G36" s="10" t="n"/>
    </row>
    <row r="37" ht="87" customHeight="1" s="19">
      <c r="A37" s="6" t="n">
        <v>34</v>
      </c>
      <c r="B37" s="10" t="inlineStr">
        <is>
          <t>云堡垒机</t>
        </is>
      </c>
      <c r="C37" s="10" t="inlineStr">
        <is>
          <t>华东2（上海）</t>
        </is>
      </c>
      <c r="D37" s="8" t="inlineStr">
        <is>
          <t>规格：云堡垒机20资产实例费用
实例费用：×1
数据库资产扩展包：×1
数量：1个
时长：1年</t>
        </is>
      </c>
      <c r="E37" s="22">
        <f>24480+4320</f>
        <v>28800</v>
        <v/>
      </c>
      <c r="F37" s="22" t="n">
        <v>24480</v>
      </c>
      <c r="G37" s="10" t="n"/>
    </row>
    <row r="38" ht="45" customHeight="1" s="19">
      <c r="A38" s="23" t="inlineStr">
        <is>
          <t>包年包月 小计（元/年）</t>
        </is>
      </c>
      <c r="B38" s="20" t="n"/>
      <c r="C38" s="20" t="n"/>
      <c r="D38" s="21" t="n"/>
      <c r="E38" s="24">
        <f>SUM(E4:E37)</f>
        <v>720693.09</v>
        <v/>
      </c>
      <c r="F38" s="25">
        <f>SUM(F4:F37)</f>
        <v>515973.09</v>
        <v/>
      </c>
      <c r="G38" s="26" t="inlineStr">
        <is>
          <t>云服务器23台＋其余产品11类</t>
        </is>
      </c>
    </row>
    <row r="39" ht="208.8" customHeight="1" s="19">
      <c r="A39" s="6" t="n">
        <v>35</v>
      </c>
      <c r="B39" s="10" t="inlineStr">
        <is>
          <t>日志服务（按量计费）</t>
        </is>
      </c>
      <c r="C39" s="10" t="inlineStr">
        <is>
          <t>华东2（上海）</t>
        </is>
      </c>
      <c r="D39" s="8" t="inlineStr">
        <is>
          <t>版本：日志服务标准版
计费类型：按量计费（金额为元/月）
计费项：存储/索引/写流量/API调用</t>
        </is>
      </c>
      <c r="E39" s="22" t="n">
        <v>97.19</v>
      </c>
      <c r="F39" s="22" t="n">
        <v>54.68</v>
      </c>
      <c r="G39" s="27" t="inlineStr">
        <is>
          <t>单价核对：已与官网一致
细项：标准-日志存储0.0115、标准-索引存储0.0115、低频-日志存储0.005、低频-索引存储0.005（元/GiB/日）；写流量0.18、索引流量0.35（元/GiB）；API调用0.12（元/百万次）
估算：Σ(单价×实测用量)；原价￥97.19－优惠￥42.51＝应付￥54.68/月
资源包：官方仅按量计费，未提供资源包 → 暂不可抵扣</t>
        </is>
      </c>
    </row>
    <row r="40" ht="208.8" customHeight="1" s="19">
      <c r="A40" s="6" t="n">
        <v>36</v>
      </c>
      <c r="B40" s="10" t="inlineStr">
        <is>
          <t>对象存储（按量计费）</t>
        </is>
      </c>
      <c r="C40" s="10" t="inlineStr">
        <is>
          <t>华东2（上海）</t>
        </is>
      </c>
      <c r="D40" s="8" t="inlineStr">
        <is>
          <t>版本：对象存储（TOS）
计费类型：按量计费（金额为元/月）
计费项：标准/低频存储、请求次数、公网流出</t>
        </is>
      </c>
      <c r="E40" s="22" t="n">
        <v>148.22</v>
      </c>
      <c r="F40" s="22" t="n">
        <v>70.31</v>
      </c>
      <c r="G40" s="27" t="inlineStr">
        <is>
          <t>单价核对：已与官网一致
细项：标准存储容量0.099（元/GiB/月）、标准存储请求0.01（元/万次）、低频存储容量0.08（元/GiB/月）、低频存储请求0.1（元/万次）、公网流出0.5（元/GB）
估算：Σ(单价×实测用量)；原价￥148.22＝应付￥70.31/月
资源包：✅标准/低频存储容量包、✅公网流出流量包可抵扣；❌请求次数无资源包</t>
        </is>
      </c>
    </row>
    <row r="41" ht="226.2" customHeight="1" s="19">
      <c r="A41" s="6" t="n">
        <v>37</v>
      </c>
      <c r="B41" s="10" t="inlineStr">
        <is>
          <t>托管Prometheus（按量计费）</t>
        </is>
      </c>
      <c r="C41" s="10" t="inlineStr">
        <is>
          <t>华东2（上海）</t>
        </is>
      </c>
      <c r="D41" s="8" t="inlineStr">
        <is>
          <t>版本：标准版-15天
计费类型：按量计费（金额为元/月）
计费项：云服务基础指标/自定义指标写入量</t>
        </is>
      </c>
      <c r="E41" s="22" t="n">
        <v>1064.15</v>
      </c>
      <c r="F41" s="22" t="n">
        <v>528.23</v>
      </c>
      <c r="G41" s="27" t="inlineStr">
        <is>
          <t>单价核对：已与官网一致
细项：云服务基础指标写入0（元/百万样本）、自定义指标写入阶梯0.6/0.4/0.2/0.15（元/百万样本）
估算：上报量按日累加阶梯单价；原价￥1064.15－优惠50%＝应付￥528.23/月
资源包：✅标准版工作区资源包（按上报指标量抵扣）；本账期上报约1773.58百万样本，可选15天资源包mini（499元/月，含3420百万次）覆盖</t>
        </is>
      </c>
    </row>
    <row r="42" ht="174" customHeight="1" s="19">
      <c r="A42" s="6" t="n">
        <v>38</v>
      </c>
      <c r="B42" s="10" t="inlineStr">
        <is>
          <t>负载均衡（按量计费）</t>
        </is>
      </c>
      <c r="C42" s="10" t="inlineStr">
        <is>
          <t>华东2（上海）</t>
        </is>
      </c>
      <c r="D42" s="8" t="inlineStr">
        <is>
          <t>规格：小型I / 小型II
计费类型：按量计费（金额为元/月）
计费项：实例费+规格配置费</t>
        </is>
      </c>
      <c r="E42" s="22" t="n">
        <v>669.6</v>
      </c>
      <c r="F42" s="22" t="n">
        <v>334.8</v>
      </c>
      <c r="G42" s="27" t="inlineStr">
        <is>
          <t>单价核对：已与官网一致
细项：实例费0（元/个/时）；规格配置费 小型I 0.1元/个/时×2、小型II 0.35元/个/时×2
估算：实例费＋规格配置费(单价×744小时)；原价￥669.60－优惠50%＝应付￥334.80/月
资源包：❌传统型CLB无资源包（仅ALB/NLB提供LCU资源包，可抵扣实例费+LCU费）</t>
        </is>
      </c>
    </row>
    <row r="43" ht="208.8" customHeight="1" s="19">
      <c r="A43" s="6" t="n">
        <v>39</v>
      </c>
      <c r="B43" s="10" t="inlineStr">
        <is>
          <t>容器服务-托管版（按量计费）</t>
        </is>
      </c>
      <c r="C43" s="10" t="inlineStr">
        <is>
          <t>华东2（上海）</t>
        </is>
      </c>
      <c r="D43" s="8" t="inlineStr">
        <is>
          <t>版本：容器服务托管版（VKE）
计费类型：按量计费（金额为元/月）
集群：wcy-prod、wcy-test</t>
        </is>
      </c>
      <c r="E43" s="22" t="n">
        <v>892.8</v>
      </c>
      <c r="F43" s="22" t="n">
        <v>446.4</v>
      </c>
      <c r="G43" s="27" t="inlineStr">
        <is>
          <t>单价核对：0.6元/个/时（取自客户账单）
细项：容器服务托管版（集群管理费）0.6元/个/时×2集群×744小时
估算：集群托管费0.6元/个/时×744小时×2集群(wcy-prod、wcy-test)；原价￥892.80－优惠50%＝应付￥446.40/月
资源包：❌集群托管费无资源包；仅VCI弹性容器实例支持预留实例券（邀测）</t>
        </is>
      </c>
    </row>
    <row r="44" ht="191.4" customHeight="1" s="19">
      <c r="A44" s="6" t="n">
        <v>40</v>
      </c>
      <c r="B44" s="10" t="inlineStr">
        <is>
          <t>云数据库 MySQL 版-代理（按量计费）</t>
        </is>
      </c>
      <c r="C44" s="10" t="inlineStr">
        <is>
          <t>华东2（上海）</t>
        </is>
      </c>
      <c r="D44" s="8" t="inlineStr">
        <is>
          <t>计费类型：代理费用-按量
规格：代理标准规格
计费单元：核
计费项：代理费用</t>
        </is>
      </c>
      <c r="E44" s="22" t="n">
        <v>1303.49</v>
      </c>
      <c r="F44" s="22" t="n">
        <v>647.28</v>
      </c>
      <c r="G44" s="27" t="inlineStr">
        <is>
          <t>单价核对：0.219元/核/时 与官网一致
细项：代理标准规格 0.219元/核/时（计费核数2核+6核）
估算：0.219元/核/时(华东2)×744小时×计费核数；已扣每实例2个免费代理核；原价￥1303.49－优惠50%＝应付￥647.28/月
资源包：❌代理费用无资源包（MySQL存储包仅抵扣备份/存储空间）</t>
        </is>
      </c>
    </row>
    <row r="45" ht="156.6" customHeight="1" s="19">
      <c r="A45" s="6" t="n">
        <v>41</v>
      </c>
      <c r="B45" s="10" t="inlineStr">
        <is>
          <t>共享带宽包（按量计费）</t>
        </is>
      </c>
      <c r="C45" s="10" t="inlineStr">
        <is>
          <t>华东2（上海）</t>
        </is>
      </c>
      <c r="D45" s="8" t="inlineStr">
        <is>
          <t>线路类型：BGP按主流量计费
计费类型：按量计费（金额为元/月）
计费项：流量费</t>
        </is>
      </c>
      <c r="E45" s="22" t="n">
        <v>30.45</v>
      </c>
      <c r="F45" s="22" t="n">
        <v>11.69</v>
      </c>
      <c r="G45" s="27" t="inlineStr">
        <is>
          <t>单价核对：0.8元/GB 与官网一致
细项：BGP按主流量计费-流量费 0.8元/GB×38.07GB
估算：按主流量计费0.8元/GB；原价￥30.45－优惠50%＝应付￥11.69/月
资源包：✅共享流量包可抵扣（同地域同线路；邀测中，需联系客户经理）</t>
        </is>
      </c>
    </row>
    <row r="46" ht="87" customHeight="1" s="19">
      <c r="A46" s="6" t="n">
        <v>42</v>
      </c>
      <c r="B46" s="10" t="inlineStr">
        <is>
          <t>数据库传输服务（按量计费）</t>
        </is>
      </c>
      <c r="C46" s="10" t="inlineStr">
        <is>
          <t>华东2（上海）</t>
        </is>
      </c>
      <c r="D46" s="8" t="inlineStr">
        <is>
          <t>计费类型：数据订阅-数据流量
计费类型：按量计费（金额为元/月）
本账期流量为0</t>
        </is>
      </c>
      <c r="E46" s="22" t="n">
        <v>0</v>
      </c>
      <c r="F46" s="22" t="n">
        <v>0</v>
      </c>
      <c r="G46" s="27" t="inlineStr">
        <is>
          <t>单价核对：0元/GB
细项：数据订阅-数据流量 0元/GB×0GB（本账期0）
估算：应付￥0/月
资源包：❌暂无公开资源包</t>
        </is>
      </c>
    </row>
    <row r="47" ht="121.8" customHeight="1" s="19">
      <c r="A47" s="6" t="n">
        <v>43</v>
      </c>
      <c r="B47" s="10" t="inlineStr">
        <is>
          <t>镜像仓库（按量计费）</t>
        </is>
      </c>
      <c r="C47" s="10" t="inlineStr">
        <is>
          <t>华东2（上海）</t>
        </is>
      </c>
      <c r="D47" s="8" t="inlineStr">
        <is>
          <t>版本：小微版
计费类型：混合计费
计费项：公网流出流量（累进）
本账期流量为0</t>
        </is>
      </c>
      <c r="E47" s="22" t="n">
        <v>0</v>
      </c>
      <c r="F47" s="22" t="n">
        <v>0</v>
      </c>
      <c r="G47" s="27" t="inlineStr">
        <is>
          <t>单价核对：0/0.5元/GB 累进（与官网一致）
细项：公网流出流量(累进) 0/0.5元/GB×0GB（本账期0）
估算：每月前1000MB免费、超出0.5元/GB；应付￥0/月
资源包：❌暂无公开资源包</t>
        </is>
      </c>
    </row>
    <row r="48" ht="45" customHeight="1" s="19">
      <c r="A48" s="23" t="inlineStr">
        <is>
          <t>按量计费 小计（元/月）</t>
        </is>
      </c>
      <c r="B48" s="20" t="n"/>
      <c r="C48" s="20" t="n"/>
      <c r="D48" s="21" t="n"/>
      <c r="E48" s="24">
        <f>SUM(E39:E47)</f>
        <v>4205.9</v>
        <v/>
      </c>
      <c r="F48" s="25">
        <f>SUM(F39:F47)</f>
        <v>2093.39</v>
        <v/>
      </c>
      <c r="G48" s="26" t="inlineStr">
        <is>
          <t>按量计费产品9类，金额为元/月；单价已与官网核对，按客户账单实测用量估算
资源包可抵扣：对象存储（标准/低频存储容量包、公网流出流量包）、托管Prometheus（工作区资源包）、共享带宽包（共享流量包）；其余产品暂无资源包</t>
        </is>
      </c>
    </row>
    <row r="49" ht="60" customHeight="1" s="19">
      <c r="A49" s="23" t="inlineStr">
        <is>
          <t>总计</t>
        </is>
      </c>
      <c r="B49" s="20" t="n"/>
      <c r="C49" s="20" t="n"/>
      <c r="D49" s="21" t="n"/>
      <c r="E49" s="24">
        <f>E38</f>
        <v>720693.09</v>
        <v/>
      </c>
      <c r="F49" s="25">
        <f>F38</f>
        <v>515973.09</v>
        <v/>
      </c>
      <c r="G49" s="26" t="inlineStr">
        <is>
          <t>报价为年费口径，合计为包年包月年费；另含按量计费￥2,093.39/月（已单列、未计入年费合计）。报价仅供参考，请以实际下单金额为准</t>
        </is>
      </c>
    </row>
  </sheetData>
  <mergeCells count="4">
    <mergeCell ref="A48:D48"/>
    <mergeCell ref="A1:G1"/>
    <mergeCell ref="A38:D38"/>
    <mergeCell ref="A49:D4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drama</dc:creator>
  <dcterms:created xsi:type="dcterms:W3CDTF">2026-07-02T03:08:24Z</dcterms:created>
  <dcterms:modified xsi:type="dcterms:W3CDTF">2026-10-19T09:50:07Z</dcterms:modified>
  <cp:lastModifiedBy>瑾炎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DB9BF8F751F847CCAFB7AA77EE4D0902_11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
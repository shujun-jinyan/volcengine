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865" windowHeight="13234" tabRatio="600" firstSheet="0" activeTab="0" autoFilterDateGrouping="1"/>
  </bookViews>
  <sheets>
    <sheet name="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"/>
  <sheetViews>
    <sheetView tabSelected="1" workbookViewId="0">
      <selection activeCell="L6" sqref="L6"/>
    </sheetView>
  </sheetViews>
  <sheetFormatPr baseColWidth="8" defaultColWidth="8.61261261261261" defaultRowHeight="14.1"/>
  <cols>
    <col width="7.79279279279279" customWidth="1" style="19" min="1" max="1"/>
    <col width="12.7387387387387" customWidth="1" style="19" min="2" max="2"/>
    <col width="38.8378378378378" customWidth="1" style="19" min="4" max="4"/>
    <col width="22.0810810810811" customWidth="1" style="19" min="5" max="6"/>
    <col width="29.027027027027" customWidth="1" style="19" min="7" max="7"/>
  </cols>
  <sheetData>
    <row r="1" ht="46" customHeight="1" s="19">
      <c r="A1" s="2" t="inlineStr">
        <is>
          <t>火山引擎报价参考</t>
        </is>
      </c>
      <c r="B1" s="20" t="n"/>
      <c r="C1" s="20" t="n"/>
      <c r="D1" s="20" t="n"/>
      <c r="E1" s="20" t="n"/>
      <c r="F1" s="20" t="n"/>
      <c r="G1" s="21" t="n"/>
    </row>
    <row r="2" ht="36" customHeight="1" s="19">
      <c r="A2" s="3" t="n"/>
      <c r="B2" s="3" t="n"/>
      <c r="C2" s="3" t="n"/>
      <c r="D2" s="3" t="n"/>
      <c r="E2" s="3" t="n"/>
      <c r="F2" s="3" t="inlineStr">
        <is>
          <t>报价时间</t>
        </is>
      </c>
      <c r="G2" s="4">
        <f>TODAY()</f>
        <v/>
      </c>
    </row>
    <row r="3" ht="36" customHeight="1" s="19">
      <c r="A3" s="5" t="inlineStr">
        <is>
          <t>序号</t>
        </is>
      </c>
      <c r="B3" s="5" t="inlineStr">
        <is>
          <t>产品</t>
        </is>
      </c>
      <c r="C3" s="5" t="inlineStr">
        <is>
          <t>地域</t>
        </is>
      </c>
      <c r="D3" s="5" t="inlineStr">
        <is>
          <t>配置</t>
        </is>
      </c>
      <c r="E3" s="5" t="inlineStr">
        <is>
          <t>官网目录价/年</t>
        </is>
      </c>
      <c r="F3" s="5" t="inlineStr">
        <is>
          <t>官网刊例价/年</t>
        </is>
      </c>
      <c r="G3" s="5" t="inlineStr">
        <is>
          <t>备注</t>
        </is>
      </c>
    </row>
    <row r="4" ht="90" customHeight="1" s="19">
      <c r="A4" s="6" t="n">
        <v>1</v>
      </c>
      <c r="B4" s="10" t="inlineStr">
        <is>
          <t>云服务器</t>
        </is>
      </c>
      <c r="C4" s="10" t="inlineStr">
        <is>
          <t>北京</t>
        </is>
      </c>
      <c r="D4" s="8" t="inlineStr">
        <is>
          <t>实例规格：ecs.c4i.xlarge
（计算型 c4i   4 vCPU | 8 GiB）
系统盘：极速型SSD PL0  40GB
数据盘：极速型SSD PL0  100GB
数量：1台</t>
        </is>
      </c>
      <c r="E4" s="22">
        <f>3848.2+1167.8</f>
        <v/>
      </c>
      <c r="F4" s="22" t="n">
        <v>3848.2</v>
      </c>
      <c r="G4" s="10" t="inlineStr">
        <is>
          <t>实例：ecs.c4i.xlarge 包1年刊例价4176元/年；系统盘40G、数据盘100G 均按极速型SSD PL0 0.5元/GiB/月</t>
        </is>
      </c>
    </row>
    <row r="5" ht="61.5" customHeight="1" s="19">
      <c r="A5" s="6" t="n">
        <v>2</v>
      </c>
      <c r="B5" s="10" t="inlineStr">
        <is>
          <t>公网IP</t>
        </is>
      </c>
      <c r="C5" s="10" t="inlineStr">
        <is>
          <t>北京</t>
        </is>
      </c>
      <c r="D5" s="10" t="inlineStr">
        <is>
          <t>线路类型：BGP多线
带宽大小：5M
数量：1台</t>
        </is>
      </c>
      <c r="E5" s="22">
        <f>1234.2+217.8</f>
        <v/>
      </c>
      <c r="F5" s="22" t="n">
        <v>1234.2</v>
      </c>
      <c r="G5" s="10" t="inlineStr">
        <is>
          <t>带宽费=[1~2M单价23元/月/Mbps×2 + 3~5M单价25元/月/Mbps×3]×12月=1452元/年</t>
        </is>
      </c>
    </row>
    <row r="6" ht="35" customHeight="1" s="19">
      <c r="A6" s="23" t="inlineStr">
        <is>
          <t>总计</t>
        </is>
      </c>
      <c r="B6" s="20" t="n"/>
      <c r="C6" s="20" t="n"/>
      <c r="D6" s="21" t="n"/>
      <c r="E6" s="24">
        <f>SUM(E4:E5)</f>
        <v/>
      </c>
      <c r="F6" s="25">
        <f>SUM(F4:F5)</f>
        <v/>
      </c>
      <c r="G6" s="17" t="inlineStr">
        <is>
          <t>注：报价仅供参考，请以实际下单金额为准</t>
        </is>
      </c>
    </row>
    <row r="7" ht="76.5" customHeight="1" s="19"/>
    <row r="8" ht="76.5" customHeight="1" s="19"/>
    <row r="9" ht="61.5" customHeight="1" s="19"/>
    <row r="10" ht="31.5" customHeight="1" s="19"/>
    <row r="11" ht="31.5" customHeight="1" s="19"/>
    <row r="12" ht="31.5" customHeight="1" s="19"/>
    <row r="13" ht="31.5" customHeight="1" s="19"/>
    <row r="14" ht="35" customHeight="1" s="19"/>
    <row r="15" ht="14.85" customHeight="1" s="19"/>
  </sheetData>
  <mergeCells count="2">
    <mergeCell ref="A1:G1"/>
    <mergeCell ref="A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drama</dc:creator>
  <dcterms:created xsi:type="dcterms:W3CDTF">2026-07-02T03:08:24Z</dcterms:created>
  <dcterms:modified xsi:type="dcterms:W3CDTF">2026-10-16T11:53:25Z</dcterms:modified>
  <cp:lastModifiedBy>瑾炎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DB9BF8F751F847CCAFB7AA77EE4D0902_11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
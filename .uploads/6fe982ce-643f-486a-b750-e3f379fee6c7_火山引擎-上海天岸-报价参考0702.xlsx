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865" windowHeight="1323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<sst xmlns="http://schemas.openxmlformats.org/spreadsheetml/2006/main" count="41" uniqueCount="31">
  <si>
    <t>火山引擎报价参考</t>
  </si>
  <si>
    <t>报价时间</t>
  </si>
  <si>
    <t>序号</t>
  </si>
  <si>
    <t>产品</t>
  </si>
  <si>
    <t>地域</t>
  </si>
  <si>
    <t>配置</t>
  </si>
  <si>
    <t>官网目录价/年</t>
  </si>
  <si>
    <t>官网刊例价/年</t>
  </si>
  <si>
    <t>备注</t>
  </si>
  <si>
    <t>云服务器</t>
  </si>
  <si>
    <t>上海</t>
  </si>
  <si>
    <t>实例规格：ecs.c4i.2xlarge
8 vCPU|16 GiB
系统盘：极速型SSD PL0 40GB
数据盘：极速型SSD PL0 3000GB</t>
  </si>
  <si>
    <t>弹性伸缩</t>
  </si>
  <si>
    <t>云数据库</t>
  </si>
  <si>
    <t>数据库类型： SQL Server
版本：SQL Server 2022 标准版
实例类型：基础版本
规格：独享型
节点规格：4核32GiB 
(rds.mssql.4il.x8.large.s1)
存储类型：极速型PL1 500G</t>
  </si>
  <si>
    <t>缓存数据库redis</t>
  </si>
  <si>
    <t>服务类型：Redis社区版
数据库版本：redis 7.0
实例类型：主备
分片集群：不启用
节点规格：8GB   96MB/s</t>
  </si>
  <si>
    <t>应用型负载均衡ALB</t>
  </si>
  <si>
    <t>资源包大小：中型资源包50,000LCU</t>
  </si>
  <si>
    <t>可考虑创建传统型负载均衡
网络类型：私网
规格：小型II
最大连接数：50000
官网刊例价/年：1927.800</t>
  </si>
  <si>
    <t>RocketMQ</t>
  </si>
  <si>
    <t>版本：5.x  基础版
计算规格：rocketmq.b2.2k
实际存储空间：900GB
消息保留时长：72小时</t>
  </si>
  <si>
    <t>公网IP</t>
  </si>
  <si>
    <t>线路类型：BGP多线
带宽大小：50M</t>
  </si>
  <si>
    <t>线路类型：BGP多线
带宽大小：1M</t>
  </si>
  <si>
    <t>对象存储</t>
  </si>
  <si>
    <t>国内通用</t>
  </si>
  <si>
    <t>存储容量包
资源包大小：500G</t>
  </si>
  <si>
    <t>流量包：公网流出流量包
资源包大小：1TB</t>
  </si>
  <si>
    <t>总计</t>
  </si>
  <si>
    <t>注：报价仅供参考，请以实际下单金额为准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</si>
</sst>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</numFmts>
  <fonts count="26">
    <font>
      <sz val="11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14" fontId="0" fillId="2" borderId="1" xfId="0" applyNumberFormat="1" applyFill="1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176" fontId="4" fillId="0" borderId="1" xfId="0" applyNumberFormat="1" applyFont="1" applyBorder="1">
      <alignment vertical="center"/>
    </xf>
    <xf numFmtId="0" fontId="4" fillId="0" borderId="1" xfId="0" applyFont="1" applyBorder="1">
      <alignment vertical="center"/>
    </xf>
    <xf numFmtId="0" fontId="4" fillId="3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76" fontId="0" fillId="2" borderId="1" xfId="0" applyNumberFormat="1" applyFill="1" applyBorder="1">
      <alignment vertical="center"/>
    </xf>
    <xf numFmtId="176" fontId="5" fillId="2" borderId="1" xfId="0" applyNumberFormat="1" applyFont="1" applyFill="1" applyBorder="1">
      <alignment vertical="center"/>
    </xf>
    <xf numFmtId="0" fontId="6" fillId="2" borderId="1" xfId="0" applyFont="1" applyFill="1" applyBorder="1" applyAlignment="1">
      <alignment vertical="center" wrapText="1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abSelected="1" workbookViewId="0">
      <selection activeCell="L6" sqref="L6"/>
    </sheetView>
  </sheetViews>
  <sheetFormatPr defaultColWidth="8.61261261261261" defaultRowHeight="14.1" outlineLevelCol="6"/>
  <cols>
    <col min="1" max="1" width="7.79279279279279" customWidth="1"/>
    <col min="2" max="2" width="12.7387387387387" customWidth="1"/>
    <col min="4" max="4" width="38.8378378378378" customWidth="1"/>
    <col min="5" max="6" width="22.0810810810811" customWidth="1"/>
    <col min="7" max="7" width="29.027027027027" customWidth="1"/>
  </cols>
  <sheetData>
    <row r="1" ht="46" customHeight="1" spans="1:7">
      <c r="A1" s="1" t="s">
        <v>0</v>
      </c>
      <c r="B1" s="2"/>
      <c r="C1" s="2"/>
      <c r="D1" s="2"/>
      <c r="E1" s="2"/>
      <c r="F1" s="2"/>
      <c r="G1" s="2"/>
    </row>
    <row r="2" ht="36" customHeight="1" spans="1:7">
      <c r="A2" s="3"/>
      <c r="B2" s="3"/>
      <c r="C2" s="3"/>
      <c r="D2" s="3"/>
      <c r="E2" s="3"/>
      <c r="F2" s="3" t="s">
        <v>1</v>
      </c>
      <c r="G2" s="4">
        <f ca="1">TODAY()</f>
        <v>46205</v>
      </c>
    </row>
    <row r="3" ht="36" customHeight="1" spans="1:7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</row>
    <row r="4" ht="61.5" spans="1:7">
      <c r="A4" s="6">
        <v>1</v>
      </c>
      <c r="B4" s="7" t="s">
        <v>9</v>
      </c>
      <c r="C4" s="7" t="s">
        <v>10</v>
      </c>
      <c r="D4" s="8" t="s">
        <v>11</v>
      </c>
      <c r="E4" s="9">
        <f>20400.96+6191.04</f>
        <v>26592</v>
      </c>
      <c r="F4" s="9">
        <v>20400.96</v>
      </c>
      <c r="G4" s="10"/>
    </row>
    <row r="5" ht="18.6" spans="1:7">
      <c r="A5" s="6">
        <v>2</v>
      </c>
      <c r="B5" s="7" t="s">
        <v>12</v>
      </c>
      <c r="C5" s="7" t="s">
        <v>10</v>
      </c>
      <c r="D5" s="10"/>
      <c r="E5" s="9">
        <v>0</v>
      </c>
      <c r="F5" s="9">
        <v>0</v>
      </c>
      <c r="G5" s="10"/>
    </row>
    <row r="6" ht="106.5" spans="1:7">
      <c r="A6" s="6">
        <v>3</v>
      </c>
      <c r="B6" s="7" t="s">
        <v>13</v>
      </c>
      <c r="C6" s="7" t="s">
        <v>10</v>
      </c>
      <c r="D6" s="8" t="s">
        <v>14</v>
      </c>
      <c r="E6" s="9">
        <f>38844+7956</f>
        <v>46800</v>
      </c>
      <c r="F6" s="9">
        <v>38844</v>
      </c>
      <c r="G6" s="10"/>
    </row>
    <row r="7" ht="76.5" spans="1:7">
      <c r="A7" s="6">
        <v>4</v>
      </c>
      <c r="B7" s="7" t="s">
        <v>15</v>
      </c>
      <c r="C7" s="7" t="s">
        <v>10</v>
      </c>
      <c r="D7" s="8" t="s">
        <v>16</v>
      </c>
      <c r="E7" s="9">
        <f>5222.4+2457.6</f>
        <v>7680</v>
      </c>
      <c r="F7" s="9">
        <v>5222.4</v>
      </c>
      <c r="G7" s="10"/>
    </row>
    <row r="8" ht="76.5" spans="1:7">
      <c r="A8" s="6">
        <v>5</v>
      </c>
      <c r="B8" s="7" t="s">
        <v>17</v>
      </c>
      <c r="C8" s="7" t="s">
        <v>10</v>
      </c>
      <c r="D8" s="7" t="s">
        <v>18</v>
      </c>
      <c r="E8" s="9">
        <v>2377</v>
      </c>
      <c r="F8" s="9">
        <v>2377</v>
      </c>
      <c r="G8" s="11" t="s">
        <v>19</v>
      </c>
    </row>
    <row r="9" ht="61.5" spans="1:7">
      <c r="A9" s="6">
        <v>6</v>
      </c>
      <c r="B9" s="7" t="s">
        <v>20</v>
      </c>
      <c r="C9" s="7" t="s">
        <v>10</v>
      </c>
      <c r="D9" s="8" t="s">
        <v>21</v>
      </c>
      <c r="E9" s="9">
        <f>21912+4488</f>
        <v>26400</v>
      </c>
      <c r="F9" s="9">
        <v>21912</v>
      </c>
      <c r="G9" s="10"/>
    </row>
    <row r="10" ht="31.5" spans="1:7">
      <c r="A10" s="6">
        <v>7</v>
      </c>
      <c r="B10" s="7" t="s">
        <v>22</v>
      </c>
      <c r="C10" s="7" t="s">
        <v>10</v>
      </c>
      <c r="D10" s="8" t="s">
        <v>23</v>
      </c>
      <c r="E10" s="9">
        <f>47134.2+8317.8</f>
        <v>55452</v>
      </c>
      <c r="F10" s="9">
        <v>47134.2</v>
      </c>
      <c r="G10" s="10"/>
    </row>
    <row r="11" ht="31.5" spans="1:7">
      <c r="A11" s="6">
        <v>8</v>
      </c>
      <c r="B11" s="7" t="s">
        <v>22</v>
      </c>
      <c r="C11" s="7" t="s">
        <v>10</v>
      </c>
      <c r="D11" s="8" t="s">
        <v>24</v>
      </c>
      <c r="E11" s="9">
        <f>234.6+41.4</f>
        <v>276</v>
      </c>
      <c r="F11" s="9">
        <v>234.6</v>
      </c>
      <c r="G11" s="10"/>
    </row>
    <row r="12" ht="31.5" spans="1:7">
      <c r="A12" s="6">
        <v>9</v>
      </c>
      <c r="B12" s="7" t="s">
        <v>25</v>
      </c>
      <c r="C12" s="7" t="s">
        <v>26</v>
      </c>
      <c r="D12" s="8" t="s">
        <v>27</v>
      </c>
      <c r="E12" s="9">
        <v>94.8</v>
      </c>
      <c r="F12" s="9">
        <v>94.8</v>
      </c>
      <c r="G12" s="10"/>
    </row>
    <row r="13" ht="31.5" spans="1:7">
      <c r="A13" s="6">
        <v>10</v>
      </c>
      <c r="B13" s="7" t="s">
        <v>25</v>
      </c>
      <c r="C13" s="7" t="s">
        <v>26</v>
      </c>
      <c r="D13" s="8" t="s">
        <v>28</v>
      </c>
      <c r="E13" s="9">
        <v>3780</v>
      </c>
      <c r="F13" s="9">
        <v>3780</v>
      </c>
      <c r="G13" s="10"/>
    </row>
    <row r="14" ht="35" customHeight="1" spans="1:7">
      <c r="A14" s="12" t="s">
        <v>29</v>
      </c>
      <c r="B14" s="13"/>
      <c r="C14" s="13"/>
      <c r="D14" s="14"/>
      <c r="E14" s="15">
        <f>SUM(E4:E13)</f>
        <v>169451.8</v>
      </c>
      <c r="F14" s="16">
        <f>SUM(F4:F13)</f>
        <v>139999.96</v>
      </c>
      <c r="G14" s="17" t="s">
        <v>30</v>
      </c>
    </row>
    <row r="15" ht="14.85" spans="1:7">
      <c r="E15" s="18"/>
      <c r="F15" s="18"/>
    </row>
    <row r="16" spans="1:7">
      <c r="E16" s="18"/>
      <c r="F16" s="18"/>
    </row>
    <row r="17" spans="5:6">
      <c r="E17" s="18"/>
      <c r="F17" s="18"/>
    </row>
    <row r="18" spans="5:6">
      <c r="E18" s="18"/>
      <c r="F18" s="18"/>
    </row>
    <row r="19" spans="5:6">
      <c r="E19" s="18"/>
      <c r="F19" s="18"/>
    </row>
    <row r="20" spans="5:6">
      <c r="E20" s="18"/>
      <c r="F20" s="18"/>
    </row>
  </sheetData>
  <mergeCells count="2">
    <mergeCell ref="A1:G1"/>
    <mergeCell ref="A14:D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drama</dc:creator>
  <cp:lastModifiedBy>瑾炎</cp:lastModifiedBy>
  <dcterms:created xsi:type="dcterms:W3CDTF">2026-07-02T03:08:24Z</dcterms:created>
  <dcterms:modified xsi:type="dcterms:W3CDTF">2026-07-02T03:42:30Z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DB9BF8F751F847CCAFB7AA77EE4D0902_11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
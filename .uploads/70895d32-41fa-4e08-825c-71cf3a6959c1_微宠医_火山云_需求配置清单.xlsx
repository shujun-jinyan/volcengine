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rama\Downloads\"/>
    </mc:Choice>
  </mc:AlternateContent>
  <bookViews>
    <workbookView windowWidth="25714" windowHeight="13234" activeTab="1"/>
  </bookViews>
  <sheets>
    <sheet name="汇总" sheetId="1" r:id="rId1"/>
    <sheet name="包年包月" sheetId="2" r:id="rId2"/>
    <sheet name="按量计费" sheetId="3" r:id="rId3"/>
  </sheets>
  <definedNames>
    <definedName name="_xlnm._FilterDatabase" localSheetId="1" hidden="1">包年包月!$A$1:$K$97</definedName>
    <definedName name="_xlnm._FilterDatabase" localSheetId="2" hidden="1">按量计费!$A$1:$M$31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<sst xmlns="http://schemas.openxmlformats.org/spreadsheetml/2006/main" count="1007" uniqueCount="339">
  <si>
    <t>计费模式</t>
  </si>
  <si>
    <t>产品</t>
  </si>
  <si>
    <r>
      <rPr>
        <b/>
        <sz val="12"/>
        <color rgb="FFFFFFFF"/>
        <rFont val="宋体"/>
        <charset val="134"/>
      </rPr>
      <t>原价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月</t>
    </r>
  </si>
  <si>
    <r>
      <rPr>
        <b/>
        <sz val="12"/>
        <color rgb="FFFFFFFF"/>
        <rFont val="宋体"/>
        <charset val="134"/>
      </rPr>
      <t>优惠金额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月</t>
    </r>
  </si>
  <si>
    <r>
      <rPr>
        <b/>
        <sz val="12"/>
        <color rgb="FFFFFFFF"/>
        <rFont val="宋体"/>
        <charset val="134"/>
      </rPr>
      <t>应付金额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月</t>
    </r>
  </si>
  <si>
    <t>包月1年</t>
  </si>
  <si>
    <t>包年官网折扣价</t>
  </si>
  <si>
    <t>包年包月</t>
  </si>
  <si>
    <t>云服务器</t>
  </si>
  <si>
    <t>弹性块存储</t>
  </si>
  <si>
    <t>云数据库 MySQL 版</t>
  </si>
  <si>
    <t>云堡垒机</t>
  </si>
  <si>
    <t>消息队列 RocketMQ版</t>
  </si>
  <si>
    <t>文档数据库 MongoDB 版</t>
  </si>
  <si>
    <r>
      <rPr>
        <sz val="11"/>
        <color rgb="FF333333"/>
        <rFont val="宋体"/>
        <charset val="134"/>
      </rPr>
      <t>消息队列</t>
    </r>
    <r>
      <rPr>
        <sz val="11"/>
        <color rgb="FF333333"/>
        <rFont val="Arial"/>
        <charset val="134"/>
      </rPr>
      <t xml:space="preserve"> Kafka</t>
    </r>
    <r>
      <rPr>
        <sz val="11"/>
        <color rgb="FF333333"/>
        <rFont val="宋体"/>
        <charset val="134"/>
      </rPr>
      <t>版</t>
    </r>
  </si>
  <si>
    <t>Web应用防火墙</t>
  </si>
  <si>
    <t>数据库传输服务</t>
  </si>
  <si>
    <r>
      <rPr>
        <sz val="11"/>
        <color rgb="FF333333"/>
        <rFont val="宋体"/>
        <charset val="134"/>
      </rPr>
      <t>缓存数据库</t>
    </r>
    <r>
      <rPr>
        <sz val="11"/>
        <color rgb="FF333333"/>
        <rFont val="Arial"/>
        <charset val="134"/>
      </rPr>
      <t xml:space="preserve"> Redis </t>
    </r>
    <r>
      <rPr>
        <sz val="11"/>
        <color rgb="FF333333"/>
        <rFont val="宋体"/>
        <charset val="134"/>
      </rPr>
      <t>版</t>
    </r>
  </si>
  <si>
    <t>NAT网关</t>
  </si>
  <si>
    <t>负载均衡</t>
  </si>
  <si>
    <t>镜像仓库</t>
  </si>
  <si>
    <t>包年包月 小计</t>
  </si>
  <si>
    <t>按量计费</t>
  </si>
  <si>
    <r>
      <rPr>
        <sz val="11"/>
        <color rgb="FF333333"/>
        <rFont val="宋体"/>
        <charset val="134"/>
      </rPr>
      <t>云数据库</t>
    </r>
    <r>
      <rPr>
        <sz val="11"/>
        <color rgb="FF333333"/>
        <rFont val="Arial"/>
        <charset val="134"/>
      </rPr>
      <t xml:space="preserve"> MySQL </t>
    </r>
    <r>
      <rPr>
        <sz val="11"/>
        <color rgb="FF333333"/>
        <rFont val="宋体"/>
        <charset val="134"/>
      </rPr>
      <t>版-代理</t>
    </r>
  </si>
  <si>
    <r>
      <rPr>
        <sz val="11"/>
        <color rgb="FF333333"/>
        <rFont val="宋体"/>
        <charset val="134"/>
      </rPr>
      <t>托管</t>
    </r>
    <r>
      <rPr>
        <sz val="11"/>
        <color rgb="FF333333"/>
        <rFont val="Arial"/>
        <charset val="134"/>
      </rPr>
      <t>Prometheus</t>
    </r>
  </si>
  <si>
    <r>
      <rPr>
        <sz val="11"/>
        <color rgb="FF333333"/>
        <rFont val="宋体"/>
        <charset val="134"/>
      </rPr>
      <t>容器服务</t>
    </r>
    <r>
      <rPr>
        <sz val="11"/>
        <color rgb="FF333333"/>
        <rFont val="Arial"/>
        <charset val="134"/>
      </rPr>
      <t>-</t>
    </r>
    <r>
      <rPr>
        <sz val="11"/>
        <color rgb="FF333333"/>
        <rFont val="宋体"/>
        <charset val="134"/>
      </rPr>
      <t>托管版</t>
    </r>
  </si>
  <si>
    <t>对象存储</t>
  </si>
  <si>
    <t>日志服务</t>
  </si>
  <si>
    <t>共享带宽包</t>
  </si>
  <si>
    <t>按量计费 小计</t>
  </si>
  <si>
    <t>总计</t>
  </si>
  <si>
    <t>实例ID</t>
  </si>
  <si>
    <t>实例名称</t>
  </si>
  <si>
    <t>配置名称</t>
  </si>
  <si>
    <t>计费单元</t>
  </si>
  <si>
    <t>地域</t>
  </si>
  <si>
    <t>用量</t>
  </si>
  <si>
    <t>用量单位</t>
  </si>
  <si>
    <t>原价</t>
  </si>
  <si>
    <t>优惠金额</t>
  </si>
  <si>
    <t>应付金额</t>
  </si>
  <si>
    <t>官网折扣价/年</t>
  </si>
  <si>
    <t>i-ydr6k08ikgwuxjsdgm21</t>
  </si>
  <si>
    <t>ECS-starRocks-01</t>
  </si>
  <si>
    <t>ecs.g3a.4xlarge.month</t>
  </si>
  <si>
    <t>ecs.g3a</t>
  </si>
  <si>
    <t>华东2（上海）</t>
  </si>
  <si>
    <t>台</t>
  </si>
  <si>
    <t>vol-3w8gjlxaq956apygzi1f</t>
  </si>
  <si>
    <t>ECS-starRocks-01-volume-1-1</t>
  </si>
  <si>
    <t>系统盘-极速型SSD-PL0-包年包月</t>
  </si>
  <si>
    <t>EBS系统盘</t>
  </si>
  <si>
    <t>GiB</t>
  </si>
  <si>
    <t>vol-3w8gjlxspr3m6ab6i06o</t>
  </si>
  <si>
    <t>ECS-starRocks-01-volume-2-1</t>
  </si>
  <si>
    <t>数据盘-极速型SSD-PL0-包年包月</t>
  </si>
  <si>
    <t>EBS数据盘</t>
  </si>
  <si>
    <t>i-ydr6k08ikgwuxjsdi5qh</t>
  </si>
  <si>
    <t>ECS-starRocks-02</t>
  </si>
  <si>
    <t>ecs.r4i.xlarge.month</t>
  </si>
  <si>
    <t>ecs.r4i</t>
  </si>
  <si>
    <t>vol-3w8gjlxaq956apygzi1g</t>
  </si>
  <si>
    <t>ECS-starRocks-01-volume-1-2</t>
  </si>
  <si>
    <t>vol-3w8gjlxspr3m6ab6i06p</t>
  </si>
  <si>
    <t>ECS-starRocks-01-volume-2-2</t>
  </si>
  <si>
    <t>i-ydr6k08ikgwuxjsdk1lp</t>
  </si>
  <si>
    <t>ECS-starRocks-03</t>
  </si>
  <si>
    <t>vol-3w8gjlxaq956apygzi1h</t>
  </si>
  <si>
    <t>ECS-starRocks-01-volume-1-3</t>
  </si>
  <si>
    <t>vol-3w8gjlxspr3m6ab6i06q</t>
  </si>
  <si>
    <t>ECS-starRocks-01-volume-2-3</t>
  </si>
  <si>
    <t>i-ydr5ulst8gay8n6fhj87</t>
  </si>
  <si>
    <t>ECS-wcy-prod-front</t>
  </si>
  <si>
    <t>ecs.g3a.xlarge.month</t>
  </si>
  <si>
    <t>vol-3w8fu7hle956apyg6y63</t>
  </si>
  <si>
    <t>ECS-EV3A-volume-1</t>
  </si>
  <si>
    <t>vol-3w8fu7ilrk33uu724i97</t>
  </si>
  <si>
    <t>ECS-EV3A-volume-2</t>
  </si>
  <si>
    <t>i-ydwo23iq68qbxys14rax</t>
  </si>
  <si>
    <t>ECS-wcy-uat-db</t>
  </si>
  <si>
    <t>ecs.r3a.large.month</t>
  </si>
  <si>
    <t>ecs.r3a</t>
  </si>
  <si>
    <t>vol-3wdy1p88zw2xmcgkjcld</t>
  </si>
  <si>
    <t>ECS-wcy-uat-db-volume-1</t>
  </si>
  <si>
    <t>vol-3wdy1p7hdc4biad8mxeu</t>
  </si>
  <si>
    <t>ECS-wcy-uat-db-volume-2</t>
  </si>
  <si>
    <t>i-ydwnvllrlsqbxys1x6l4</t>
  </si>
  <si>
    <t>ECS-wcy-uat-front</t>
  </si>
  <si>
    <t>ecs.g3a.large.month</t>
  </si>
  <si>
    <t>vol-3wdxv7bafg2xmcgk8ctr</t>
  </si>
  <si>
    <t>ECS-wcy-uat-front-volume-1</t>
  </si>
  <si>
    <t>vol-3wdxv7bjxt5bd4d3ux0h</t>
  </si>
  <si>
    <t>ECS-wcy-uat-front-volume-2</t>
  </si>
  <si>
    <t>i-ydwo2c55ogqbxyrzl97q</t>
  </si>
  <si>
    <t>ECS-wcy-uat-mq</t>
  </si>
  <si>
    <t>ecs.r3a.xlarge.month</t>
  </si>
  <si>
    <t>vol-3wdy1xuoi42xmcgkjqba</t>
  </si>
  <si>
    <t>ECS-wcy-uat-mq-volume-1</t>
  </si>
  <si>
    <t>vol-3wdy1xtwvk4biad8n7da</t>
  </si>
  <si>
    <t>ECS-wcy-uat-mq-volume-2</t>
  </si>
  <si>
    <t>i-ydwo1s8s1say8n6laxmd</t>
  </si>
  <si>
    <t>ECS-wcy-uat-starRocks</t>
  </si>
  <si>
    <t>ecs.g3a.2xlarge.month</t>
  </si>
  <si>
    <t>vol-3wdy1dyavg2xmcgkiu9e</t>
  </si>
  <si>
    <t>ECS-wcy-uat-starRocks-volume-1</t>
  </si>
  <si>
    <t>vol-3wdy1dyavg2xmcgkiu8x</t>
  </si>
  <si>
    <t>ECS-wcy-uat-starRocks-volume-2</t>
  </si>
  <si>
    <t>vol-3wdy1dyxtc4biad8maot</t>
  </si>
  <si>
    <t>ECS-wcy-uat-starRocks-volume-3</t>
  </si>
  <si>
    <t>vol-3wdy1dyavg2xmcgkiu9i</t>
  </si>
  <si>
    <t>ECS-wcy-uat-starRocks-volume-4</t>
  </si>
  <si>
    <t>i-yef1wfa6tcay8n7flt3j</t>
  </si>
  <si>
    <t>cd61phgl6mcnj53fq4oag-node-0000000</t>
  </si>
  <si>
    <t>ecs.r3a.2xlarge.month</t>
  </si>
  <si>
    <t>vol-3wwbw0zg3k3t6u9guj1j</t>
  </si>
  <si>
    <t>cd61phgl6mcnj53fq4oag-node-0000000-volume-1</t>
  </si>
  <si>
    <t>vol-3wwbw0zgyw38j7i5132n</t>
  </si>
  <si>
    <t>cd61phgl6mcnj53fq4oag-node-0000000-volume-2</t>
  </si>
  <si>
    <t>i-yef1wfa6tcay8n7fn4bf</t>
  </si>
  <si>
    <t>cd61phgl6mcnj53fq4oag-node-0000001</t>
  </si>
  <si>
    <t>vol-3wwbw0zg3k3t6u9guj1k</t>
  </si>
  <si>
    <t>cd61phgl6mcnj53fq4oag-node-0000001-volume-1</t>
  </si>
  <si>
    <t>vol-3wwbw0zgyw38j7i5132o</t>
  </si>
  <si>
    <t>cd61phgl6mcnj53fq4oag-node-0000001-volume-2</t>
  </si>
  <si>
    <t>i-yef1wfa6tcay8n7fnjsr</t>
  </si>
  <si>
    <t>cd61phgl6mcnj53fq4oag-node-0000002</t>
  </si>
  <si>
    <t>vol-3wwbw0zg3k3t6u9guj1l</t>
  </si>
  <si>
    <t>cd61phgl6mcnj53fq4oag-node-0000002-volume-1</t>
  </si>
  <si>
    <t>vol-3wwbw0zgyw38j7i5132p</t>
  </si>
  <si>
    <t>cd61phgl6mcnj53fq4oag-node-0000002-volume-2</t>
  </si>
  <si>
    <t>i-ydrtwszksgk36d1a87xg</t>
  </si>
  <si>
    <t>prod-node-0000000</t>
  </si>
  <si>
    <t>ecs.r3a.4xlarge.month</t>
  </si>
  <si>
    <t>vol-3w93weppft39patsr259</t>
  </si>
  <si>
    <t>node-0000000-volume-1</t>
  </si>
  <si>
    <t>vol-3w93weppft39patsr251</t>
  </si>
  <si>
    <t>node-0000000-volume-2</t>
  </si>
  <si>
    <t>i-ydrtwszksgk36d1aaulf</t>
  </si>
  <si>
    <t>prod-node-0000001</t>
  </si>
  <si>
    <t>vol-3w93weppft39patsr25a</t>
  </si>
  <si>
    <t>node-0000001-volume-1</t>
  </si>
  <si>
    <t>vol-3w93weppft39patsr252</t>
  </si>
  <si>
    <t>node-0000001-volume-2</t>
  </si>
  <si>
    <t>i-ydrtwszksgk36d1abtni</t>
  </si>
  <si>
    <t>prod-node-0000002</t>
  </si>
  <si>
    <t>vol-3w93weppft39patsr25b</t>
  </si>
  <si>
    <t>node-0000002-volume-1</t>
  </si>
  <si>
    <t>vol-3w93weppft39patsr253</t>
  </si>
  <si>
    <t>node-0000002-volume-2</t>
  </si>
  <si>
    <t>i-ydrtwszksgk36d1ad8vt</t>
  </si>
  <si>
    <t>prod-node-0000003</t>
  </si>
  <si>
    <t>vol-3w93weppft39patsr25c</t>
  </si>
  <si>
    <t>node-0000003-volume-1</t>
  </si>
  <si>
    <t>vol-3w93weppft39patsr254</t>
  </si>
  <si>
    <t>node-0000003-volume-2</t>
  </si>
  <si>
    <t>i-ydrtwszksgk36d1adzf2</t>
  </si>
  <si>
    <t>prod-node-0000004</t>
  </si>
  <si>
    <t>vol-3w93weppft39patsr25d</t>
  </si>
  <si>
    <t>node-0000004-volume-1</t>
  </si>
  <si>
    <t>vol-3w93weppft39patsr255</t>
  </si>
  <si>
    <t>node-0000004-volume-2</t>
  </si>
  <si>
    <t>i-ye8ayi603ks6iplw7667</t>
  </si>
  <si>
    <t>wcy-prod-AI</t>
  </si>
  <si>
    <t>vol-3wpky3w0ti407e7s76b7</t>
  </si>
  <si>
    <t>wcy-prod-AI-volume-1</t>
  </si>
  <si>
    <t>vol-3wpky3w0ti407e7s76b6</t>
  </si>
  <si>
    <t>wcy-prod-AI-volume-2</t>
  </si>
  <si>
    <t>i-ydrm6ic8hsay8n6gditt</t>
  </si>
  <si>
    <t>wcy-prod-TiDB-001</t>
  </si>
  <si>
    <t>vol-3w8w69xnus3mycito7k2</t>
  </si>
  <si>
    <t>wcy-prod-TiDB-002-volume-1</t>
  </si>
  <si>
    <t>vol-3w8w6g7tac3mycitoe4z</t>
  </si>
  <si>
    <t>wcy-prod-TiDB-002-volume-2</t>
  </si>
  <si>
    <t>i-ydrm6uihogay8n6hto93</t>
  </si>
  <si>
    <t>wcy-prod-TiDB-002</t>
  </si>
  <si>
    <t>vol-3w8w6g7tac3mycitoe53</t>
  </si>
  <si>
    <t>vol-3w8w69xnus3mycito7jx</t>
  </si>
  <si>
    <t>i-ydrm6o6xogwuxjt1baob</t>
  </si>
  <si>
    <t>wcy-prod-TiDB-003</t>
  </si>
  <si>
    <t>vol-3w8w641rx03r8opyn7v2</t>
  </si>
  <si>
    <t>wcy-prod-TiDB-01-volume-1</t>
  </si>
  <si>
    <t>vol-3w8w640ykp39patsvpbc</t>
  </si>
  <si>
    <t>wcy-prod-TiDB-01-volume-2</t>
  </si>
  <si>
    <t>i-ydrm6yhrlss6iplgcymg</t>
  </si>
  <si>
    <t>wcy-prod-TiKV-001</t>
  </si>
  <si>
    <t>vol-3w8w6k7b103r8opynm6d</t>
  </si>
  <si>
    <t>wcy-prod-TiKV-001-volume-1</t>
  </si>
  <si>
    <t>vol-3w8w6k737o3mycitojeo</t>
  </si>
  <si>
    <t>wcy-prod-TiKV-001-volume-2</t>
  </si>
  <si>
    <t>i-ydrm754k5cs6iplmengp</t>
  </si>
  <si>
    <t>wcy-prod-TiKV-002</t>
  </si>
  <si>
    <t>vol-3w8w6qvi503r8opynsfg</t>
  </si>
  <si>
    <t>wcy-prod-TiKV-002-volume-1</t>
  </si>
  <si>
    <t>vol-3w8w6qta8939patswcwb</t>
  </si>
  <si>
    <t>wcy-prod-TiKV-002-volume-2</t>
  </si>
  <si>
    <t>i-ydrm78k64gwuxjsljuyb</t>
  </si>
  <si>
    <t>wcy-prod-TiKV-003</t>
  </si>
  <si>
    <t>vol-3w8w6u8w7d39patswhcf</t>
  </si>
  <si>
    <t>wcy-prod-TiKV-003-volume-1</t>
  </si>
  <si>
    <t>vol-3w8w6uawas3mycitouzx</t>
  </si>
  <si>
    <t>wcy-prod-TiKV-003-volume-2</t>
  </si>
  <si>
    <t>mongo-replica-9470cdd31e6f</t>
  </si>
  <si>
    <t>wcy-prod-mongoDB</t>
  </si>
  <si>
    <t>MongoDB 副本集（包年包月）</t>
  </si>
  <si>
    <t>副本集-4核 16GB</t>
  </si>
  <si>
    <t>个</t>
  </si>
  <si>
    <t>存储空间</t>
  </si>
  <si>
    <t>mysql-025993bb71ba</t>
  </si>
  <si>
    <t>wcy-prod-mysql-ext</t>
  </si>
  <si>
    <t>本地盘版-独享规格（包月）</t>
  </si>
  <si>
    <t>本地盘版-独享规格-8C32G</t>
  </si>
  <si>
    <t>本地盘版-独享规格-LocalSSD</t>
  </si>
  <si>
    <t>mysql-3da2b7f65a3f</t>
  </si>
  <si>
    <t>wcy-prod-mysql-rds</t>
  </si>
  <si>
    <t>本地盘版-独享规格-16C64G</t>
  </si>
  <si>
    <t>rocketmq-cnai612f12d98b0a</t>
  </si>
  <si>
    <t>wcy-prod-rocketmMQ</t>
  </si>
  <si>
    <t>标准版-包年包月</t>
  </si>
  <si>
    <r>
      <rPr>
        <sz val="11"/>
        <color rgb="FF333333"/>
        <rFont val="宋体"/>
        <charset val="134"/>
      </rPr>
      <t>标准版</t>
    </r>
    <r>
      <rPr>
        <sz val="11"/>
        <color rgb="FF333333"/>
        <rFont val="Arial"/>
        <charset val="134"/>
      </rPr>
      <t>-rocketmq.n1.x2.tiny</t>
    </r>
  </si>
  <si>
    <t>标准版-rocketmq.storage.high</t>
  </si>
  <si>
    <t>ec4617bcf48f4313b1824f77f2d72d3a</t>
  </si>
  <si>
    <t>dts-auc9rsucly</t>
  </si>
  <si>
    <t>数据订阅-包月</t>
  </si>
  <si>
    <t>数据订阅-配置费用</t>
  </si>
  <si>
    <t>小时</t>
  </si>
  <si>
    <t>ngw-5h13yay8e9z473inqk8ssib3</t>
  </si>
  <si>
    <t>NATGW-wcy-prod</t>
  </si>
  <si>
    <t>规格配置费-包月（小型）</t>
  </si>
  <si>
    <t>规格配置费</t>
  </si>
  <si>
    <t>WAF2000000561105278082</t>
  </si>
  <si>
    <t>WAFavcozXnX</t>
  </si>
  <si>
    <t>云WAF-基础版</t>
  </si>
  <si>
    <t>基础版实例</t>
  </si>
  <si>
    <t>国内通用</t>
  </si>
  <si>
    <t>访问日志</t>
  </si>
  <si>
    <t>TiB</t>
  </si>
  <si>
    <t>缓存数据库 Redis 版</t>
  </si>
  <si>
    <t>redis-shzleiztt3w7tnm7a</t>
  </si>
  <si>
    <t>wcy-prod-account</t>
  </si>
  <si>
    <t>启用分片集群（包月）</t>
  </si>
  <si>
    <t>启用分片集群单节点定价（包月）</t>
  </si>
  <si>
    <t>redis-shzl6iwqfluyha4hz</t>
  </si>
  <si>
    <t>wcy-prod-app</t>
  </si>
  <si>
    <t>消息队列 Kafka版</t>
  </si>
  <si>
    <t>kafka-cnair1s2l80igqwq</t>
  </si>
  <si>
    <t>wcy-prod-kafka</t>
  </si>
  <si>
    <t>kafka.20xrate.hw</t>
  </si>
  <si>
    <t>标准版-高速存储</t>
  </si>
  <si>
    <t>redis-shzllghk61p8mxwyz</t>
  </si>
  <si>
    <t>wcy-prod-label</t>
  </si>
  <si>
    <t>cr-cn-shanghai-weichongyi-nsg2aaa4bv</t>
  </si>
  <si>
    <t>weichongyi</t>
  </si>
  <si>
    <t>镜像仓库-小微版-混合计费</t>
  </si>
  <si>
    <t>小微版实例_包月</t>
  </si>
  <si>
    <t>vbh-2104478090-6xgs5nx2</t>
  </si>
  <si>
    <t>-</t>
  </si>
  <si>
    <t>云堡垒机20资产实例费用</t>
  </si>
  <si>
    <t>数据库资产扩展包</t>
  </si>
  <si>
    <t>clb-5g42w965n94w73inqkxs9tpn</t>
  </si>
  <si>
    <t>CLB-uat-private</t>
  </si>
  <si>
    <t>包月实例费+小型I规格配置费</t>
  </si>
  <si>
    <t>实例费</t>
  </si>
  <si>
    <t>clb-22jgkfz0e4pvk7r2qr188rbkg</t>
  </si>
  <si>
    <t>CLB-wcy-prod-private</t>
  </si>
  <si>
    <t>包月实例费+小型II规格配置费</t>
  </si>
  <si>
    <t>合计</t>
  </si>
  <si>
    <t>单价</t>
  </si>
  <si>
    <t>单价单位</t>
  </si>
  <si>
    <t>TLS_cn-shanghai_2104478090_24d10cd8-ed53-42f7</t>
  </si>
  <si>
    <t>日志服务标准版-按量计费-华东2（上海）</t>
  </si>
  <si>
    <t>低频-日志存储空间</t>
  </si>
  <si>
    <t>0.005</t>
  </si>
  <si>
    <t>低频-索引存储空间</t>
  </si>
  <si>
    <t>TOS7480822391385051403</t>
  </si>
  <si>
    <t>低频存储容量费用</t>
  </si>
  <si>
    <t>华北2（北京）</t>
  </si>
  <si>
    <t>0.000111111</t>
  </si>
  <si>
    <t>低频存储请求次数费用</t>
  </si>
  <si>
    <t>0.1</t>
  </si>
  <si>
    <t>万次</t>
  </si>
  <si>
    <t>公网流出流量</t>
  </si>
  <si>
    <t>0.5</t>
  </si>
  <si>
    <t>GB</t>
  </si>
  <si>
    <t>写流量</t>
  </si>
  <si>
    <t>0.18</t>
  </si>
  <si>
    <t>标准-API调用次数</t>
  </si>
  <si>
    <t>0.12</t>
  </si>
  <si>
    <t>百万次</t>
  </si>
  <si>
    <t>标准-日志存储空间</t>
  </si>
  <si>
    <t>0.0115</t>
  </si>
  <si>
    <t>标准-索引存储空间</t>
  </si>
  <si>
    <t>标准存储容量费用</t>
  </si>
  <si>
    <t>0.0001375</t>
  </si>
  <si>
    <t>标准容量请求次数费用</t>
  </si>
  <si>
    <t>0.01</t>
  </si>
  <si>
    <t>托管Prometheus</t>
  </si>
  <si>
    <t>VMP:2104478090:15d:1744340099</t>
  </si>
  <si>
    <t>托管Prometheus-标准版-15天</t>
  </si>
  <si>
    <t>标准版-15天-云服务基础指标写入量</t>
  </si>
  <si>
    <t>0</t>
  </si>
  <si>
    <t>百万样本</t>
  </si>
  <si>
    <t>标准版-15天-自定义指标写入量</t>
  </si>
  <si>
    <t>0.6,0.4,0.2,0.15</t>
  </si>
  <si>
    <t>索引流量</t>
  </si>
  <si>
    <t>0.35</t>
  </si>
  <si>
    <t>bwp-5h0qx9bgh3wg73inqkjld1pg</t>
  </si>
  <si>
    <t>BWP-wcy-prod</t>
  </si>
  <si>
    <t>BGP按主流量计费</t>
  </si>
  <si>
    <t>流量费</t>
  </si>
  <si>
    <t>0.8</t>
  </si>
  <si>
    <t>clb-22j21x3u7qr5s7r2qr0z3nfpc</t>
  </si>
  <si>
    <t>CLB-uat-public</t>
  </si>
  <si>
    <t>实例费+小型I规格配置费</t>
  </si>
  <si>
    <t>个/时</t>
  </si>
  <si>
    <t>clb-5guctfzzepz473inqlonel2e</t>
  </si>
  <si>
    <t>CLB-wcy-pro-public</t>
  </si>
  <si>
    <t>clb-22j5xdh3u9tz47r2qr1k8xjh0</t>
  </si>
  <si>
    <t>ccvduceoubd69otl8rbn0-apiserver-lb-internal</t>
  </si>
  <si>
    <t>实例费+小型II规格配置费</t>
  </si>
  <si>
    <t>clb-5g4c7cly9ibk73inqkye88rn</t>
  </si>
  <si>
    <t>cd61phgl6mcnj53fq4oag-apiserver-lb-internal</t>
  </si>
  <si>
    <t>dts-st-ec4617bcf48f4313b1824f77f2d72d3a</t>
  </si>
  <si>
    <t>数据订阅-数据流量</t>
  </si>
  <si>
    <t>容器服务-托管版</t>
  </si>
  <si>
    <t>ccvduceoubd69otl8rbn0</t>
  </si>
  <si>
    <t>wcy-prod</t>
  </si>
  <si>
    <t>容器服务托管版</t>
  </si>
  <si>
    <t>0.6</t>
  </si>
  <si>
    <t>mysql-025993bb71ba-proxy-84fa</t>
  </si>
  <si>
    <t>代理费用-按量</t>
  </si>
  <si>
    <t>代理标准规格</t>
  </si>
  <si>
    <t>0.219</t>
  </si>
  <si>
    <t>核</t>
  </si>
  <si>
    <t>mysql-3da2b7f65a3f-proxy-a8bf</t>
  </si>
  <si>
    <t>cd61phgl6mcnj53fq4oag</t>
  </si>
  <si>
    <t>wcy-test</t>
  </si>
  <si>
    <t>容器服务VKE</t>
  </si>
  <si>
    <t>公网流出流量(累进)</t>
  </si>
  <si>
    <t>0,0.5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</si>
</sst>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#,##0.######"/>
    <numFmt numFmtId="178" formatCode="0.00_ "/>
  </numFmts>
  <fonts count="27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1"/>
      <color rgb="FF333333"/>
      <name val="Arial"/>
      <charset val="134"/>
    </font>
    <font>
      <b/>
      <sz val="12"/>
      <color rgb="FF1F4E79"/>
      <name val="Arial"/>
      <charset val="134"/>
    </font>
    <font>
      <sz val="11"/>
      <name val="Arial"/>
      <charset val="134"/>
    </font>
    <font>
      <sz val="11"/>
      <color rgb="FF333333"/>
      <name val="宋体"/>
      <charset val="134"/>
    </font>
    <font>
      <b/>
      <sz val="12"/>
      <color rgb="FFFFFFFF"/>
      <name val="宋体"/>
      <charset val="134"/>
    </font>
    <font>
      <b/>
      <sz val="13"/>
      <color rgb="FFC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theme="9"/>
        <bgColor rgb="FF1F4E79"/>
      </patternFill>
    </fill>
    <fill>
      <patternFill patternType="solid">
        <fgColor rgb="FFFCE4EC"/>
        <bgColor rgb="FFFCE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9" borderId="9">
      <alignment vertical="center"/>
    </xf>
    <xf numFmtId="0" fontId="17" fillId="10" borderId="10">
      <alignment vertical="center"/>
    </xf>
    <xf numFmtId="0" fontId="18" fillId="10" borderId="9">
      <alignment vertical="center"/>
    </xf>
    <xf numFmtId="0" fontId="19" fillId="11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76" fontId="2" fillId="4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3" fillId="5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78" fontId="0" fillId="0" borderId="0" xfId="0" applyNumberFormat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" fontId="2" fillId="3" borderId="4" xfId="0" applyNumberFormat="1" applyFont="1" applyFill="1" applyBorder="1" applyAlignment="1">
      <alignment horizontal="center" vertical="center"/>
    </xf>
    <xf numFmtId="4" fontId="2" fillId="3" borderId="5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4" fontId="3" fillId="5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4" fontId="7" fillId="7" borderId="1" xfId="0" applyNumberFormat="1" applyFont="1" applyFill="1" applyBorder="1" applyAlignment="1">
      <alignment horizontal="right" vertical="center"/>
    </xf>
    <xf numFmtId="4" fontId="7" fillId="7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zoomScale="115" zoomScaleNormal="115" workbookViewId="0">
      <pane ySplit="1" topLeftCell="A2" activePane="bottomLeft" state="frozen"/>
      <selection/>
      <selection pane="bottomLeft" activeCell="E11" sqref="E4:M11"/>
    </sheetView>
  </sheetViews>
  <sheetFormatPr defaultColWidth="8.89189189189189" defaultRowHeight="14.1" outlineLevelCol="6"/>
  <cols>
    <col min="1" max="1" width="16" customWidth="1"/>
    <col min="2" max="2" width="26.2882882882883" customWidth="1"/>
    <col min="3" max="5" width="18" customWidth="1"/>
    <col min="6" max="6" width="21.1441441441441" style="24" customWidth="1"/>
    <col min="7" max="7" width="18" style="24" customWidth="1"/>
    <col min="8" max="8" width="9.66666666666667" customWidth="1"/>
    <col min="9" max="9" width="12.8918918918919"/>
    <col min="10" max="10" width="9.66666666666667"/>
  </cols>
  <sheetData>
    <row r="1" ht="15.45" spans="1:7">
      <c r="A1" s="1" t="s">
        <v>0</v>
      </c>
      <c r="B1" s="1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6" t="s">
        <v>6</v>
      </c>
    </row>
    <row r="2" ht="14.15" spans="1:7">
      <c r="A2" s="2" t="s">
        <v>7</v>
      </c>
      <c r="B2" s="3" t="s">
        <v>8</v>
      </c>
      <c r="C2" s="6">
        <v>30554.95</v>
      </c>
      <c r="D2" s="6">
        <v>18332.98</v>
      </c>
      <c r="E2" s="6">
        <v>12221.97</v>
      </c>
      <c r="F2" s="27">
        <f>(E2+E3)*12</f>
        <v>182495.64</v>
      </c>
      <c r="G2" s="27">
        <v>290476.23</v>
      </c>
    </row>
    <row r="3" ht="14.15" spans="1:7">
      <c r="A3" s="2" t="s">
        <v>7</v>
      </c>
      <c r="B3" s="3" t="s">
        <v>9</v>
      </c>
      <c r="C3" s="6">
        <v>5972</v>
      </c>
      <c r="D3" s="6">
        <v>2986</v>
      </c>
      <c r="E3" s="6">
        <v>2986</v>
      </c>
      <c r="F3" s="28"/>
      <c r="G3" s="28"/>
    </row>
    <row r="4" ht="14.15" spans="1:7">
      <c r="A4" s="7" t="s">
        <v>7</v>
      </c>
      <c r="B4" s="8" t="s">
        <v>10</v>
      </c>
      <c r="C4" s="11">
        <v>10440</v>
      </c>
      <c r="D4" s="11">
        <v>5220</v>
      </c>
      <c r="E4" s="11">
        <v>5220</v>
      </c>
      <c r="F4" s="29">
        <f>E4*12</f>
        <v>62640</v>
      </c>
      <c r="G4" s="29">
        <v>93960</v>
      </c>
    </row>
    <row r="5" ht="14.15" spans="1:7">
      <c r="A5" s="7" t="s">
        <v>7</v>
      </c>
      <c r="B5" s="8" t="s">
        <v>11</v>
      </c>
      <c r="C5" s="11">
        <v>2400</v>
      </c>
      <c r="D5" s="11">
        <v>1200</v>
      </c>
      <c r="E5" s="11">
        <v>1200</v>
      </c>
      <c r="F5" s="29">
        <f>E5*12</f>
        <v>14400</v>
      </c>
      <c r="G5" s="29">
        <v>24480</v>
      </c>
    </row>
    <row r="6" ht="14.15" spans="1:7">
      <c r="A6" s="2" t="s">
        <v>7</v>
      </c>
      <c r="B6" s="3" t="s">
        <v>12</v>
      </c>
      <c r="C6" s="6">
        <v>2400</v>
      </c>
      <c r="D6" s="6">
        <v>1200</v>
      </c>
      <c r="E6" s="6">
        <v>1200</v>
      </c>
      <c r="F6" s="30">
        <f>E6*12</f>
        <v>14400</v>
      </c>
      <c r="G6" s="30">
        <v>23904</v>
      </c>
    </row>
    <row r="7" ht="14.15" spans="1:7">
      <c r="A7" s="7" t="s">
        <v>7</v>
      </c>
      <c r="B7" s="8" t="s">
        <v>13</v>
      </c>
      <c r="C7" s="11">
        <v>2160</v>
      </c>
      <c r="D7" s="11">
        <v>1080</v>
      </c>
      <c r="E7" s="11">
        <v>1080</v>
      </c>
      <c r="F7" s="30">
        <f>E7*12</f>
        <v>12960</v>
      </c>
      <c r="G7" s="29">
        <v>19440</v>
      </c>
    </row>
    <row r="8" ht="14.15" spans="1:7">
      <c r="A8" s="2" t="s">
        <v>7</v>
      </c>
      <c r="B8" s="31" t="s">
        <v>14</v>
      </c>
      <c r="C8" s="6">
        <v>1956.5</v>
      </c>
      <c r="D8" s="6">
        <v>978.25</v>
      </c>
      <c r="E8" s="6">
        <v>978.25</v>
      </c>
      <c r="F8" s="30">
        <f t="shared" ref="F8:F15" si="0">E8*12</f>
        <v>11739</v>
      </c>
      <c r="G8" s="30">
        <v>19486.74</v>
      </c>
    </row>
    <row r="9" ht="14.15" spans="1:7">
      <c r="A9" s="7" t="s">
        <v>7</v>
      </c>
      <c r="B9" s="8" t="s">
        <v>15</v>
      </c>
      <c r="C9" s="11">
        <v>1910</v>
      </c>
      <c r="D9" s="11">
        <v>955</v>
      </c>
      <c r="E9" s="11">
        <v>955</v>
      </c>
      <c r="F9" s="30">
        <f t="shared" si="0"/>
        <v>11460</v>
      </c>
      <c r="G9" s="29">
        <v>22920</v>
      </c>
    </row>
    <row r="10" ht="14.15" spans="1:7">
      <c r="A10" s="2" t="s">
        <v>7</v>
      </c>
      <c r="B10" s="31" t="s">
        <v>16</v>
      </c>
      <c r="C10" s="6">
        <v>720</v>
      </c>
      <c r="D10" s="6">
        <v>360</v>
      </c>
      <c r="E10" s="6">
        <v>360</v>
      </c>
      <c r="F10" s="30">
        <f t="shared" si="0"/>
        <v>4320</v>
      </c>
      <c r="G10" s="30">
        <v>7171.2</v>
      </c>
    </row>
    <row r="11" ht="14.15" spans="1:7">
      <c r="A11" s="7" t="s">
        <v>7</v>
      </c>
      <c r="B11" s="23" t="s">
        <v>17</v>
      </c>
      <c r="C11" s="11">
        <v>433.31</v>
      </c>
      <c r="D11" s="11">
        <v>216.65</v>
      </c>
      <c r="E11" s="11">
        <v>216.66</v>
      </c>
      <c r="F11" s="30">
        <f t="shared" si="0"/>
        <v>2599.92</v>
      </c>
      <c r="G11" s="29">
        <v>2937.6</v>
      </c>
    </row>
    <row r="12" ht="14.15" spans="1:7">
      <c r="A12" s="2" t="s">
        <v>7</v>
      </c>
      <c r="B12" s="3" t="s">
        <v>18</v>
      </c>
      <c r="C12" s="6">
        <v>306</v>
      </c>
      <c r="D12" s="6">
        <v>153</v>
      </c>
      <c r="E12" s="6">
        <v>153</v>
      </c>
      <c r="F12" s="30">
        <f t="shared" si="0"/>
        <v>1836</v>
      </c>
      <c r="G12" s="30">
        <v>3121.2</v>
      </c>
    </row>
    <row r="13" ht="14.15" spans="1:7">
      <c r="A13" s="7" t="s">
        <v>7</v>
      </c>
      <c r="B13" s="23" t="s">
        <v>19</v>
      </c>
      <c r="C13" s="11">
        <v>243</v>
      </c>
      <c r="D13" s="11">
        <v>121.5</v>
      </c>
      <c r="E13" s="11">
        <v>121.5</v>
      </c>
      <c r="F13" s="30">
        <f t="shared" si="0"/>
        <v>1458</v>
      </c>
      <c r="G13" s="29">
        <v>2478.6</v>
      </c>
    </row>
    <row r="14" ht="14.15" spans="1:7">
      <c r="A14" s="2" t="s">
        <v>7</v>
      </c>
      <c r="B14" s="31" t="s">
        <v>20</v>
      </c>
      <c r="C14" s="6">
        <v>50</v>
      </c>
      <c r="D14" s="6">
        <v>25</v>
      </c>
      <c r="E14" s="6">
        <v>25</v>
      </c>
      <c r="F14" s="30">
        <f t="shared" si="0"/>
        <v>300</v>
      </c>
      <c r="G14" s="30">
        <v>498</v>
      </c>
    </row>
    <row r="15" ht="15.4" spans="1:7">
      <c r="A15" s="13" t="s">
        <v>21</v>
      </c>
      <c r="B15" s="32"/>
      <c r="C15" s="16">
        <f>SUM(C2:C14)</f>
        <v>59545.76</v>
      </c>
      <c r="D15" s="16">
        <f>SUM(D2:D14)</f>
        <v>32828.38</v>
      </c>
      <c r="E15" s="16">
        <f>SUM(E2:E14)</f>
        <v>26717.38</v>
      </c>
      <c r="F15" s="33">
        <f>SUM(F2:F14)</f>
        <v>320608.56</v>
      </c>
      <c r="G15" s="33">
        <f>SUM(G2:G14)</f>
        <v>510873.57</v>
      </c>
    </row>
    <row r="16" ht="14.15" spans="1:7">
      <c r="A16" s="2" t="s">
        <v>22</v>
      </c>
      <c r="B16" s="31" t="s">
        <v>23</v>
      </c>
      <c r="C16" s="6">
        <v>1303.488</v>
      </c>
      <c r="D16" s="6">
        <v>651.744</v>
      </c>
      <c r="E16" s="6">
        <v>647.28</v>
      </c>
      <c r="F16" s="30"/>
      <c r="G16" s="30"/>
    </row>
    <row r="17" ht="14.15" spans="1:7">
      <c r="A17" s="7" t="s">
        <v>22</v>
      </c>
      <c r="B17" s="23" t="s">
        <v>24</v>
      </c>
      <c r="C17" s="11">
        <v>1064.147732</v>
      </c>
      <c r="D17" s="11">
        <v>532.073869</v>
      </c>
      <c r="E17" s="11">
        <v>528.23</v>
      </c>
      <c r="F17" s="29"/>
      <c r="G17" s="29"/>
    </row>
    <row r="18" ht="14.15" spans="1:7">
      <c r="A18" s="2" t="s">
        <v>22</v>
      </c>
      <c r="B18" s="31" t="s">
        <v>25</v>
      </c>
      <c r="C18" s="6">
        <v>892.8</v>
      </c>
      <c r="D18" s="6">
        <v>446.4</v>
      </c>
      <c r="E18" s="6">
        <v>446.4</v>
      </c>
      <c r="F18" s="30"/>
      <c r="G18" s="30"/>
    </row>
    <row r="19" ht="14.15" spans="1:7">
      <c r="A19" s="7" t="s">
        <v>22</v>
      </c>
      <c r="B19" s="8" t="s">
        <v>19</v>
      </c>
      <c r="C19" s="11">
        <v>669.6</v>
      </c>
      <c r="D19" s="11">
        <v>334.8</v>
      </c>
      <c r="E19" s="11">
        <v>334.8</v>
      </c>
      <c r="F19" s="29"/>
      <c r="G19" s="29"/>
    </row>
    <row r="20" ht="14.15" spans="1:7">
      <c r="A20" s="2" t="s">
        <v>22</v>
      </c>
      <c r="B20" s="3" t="s">
        <v>26</v>
      </c>
      <c r="C20" s="6">
        <v>148.223304994</v>
      </c>
      <c r="D20" s="6">
        <v>74.111649994</v>
      </c>
      <c r="E20" s="6">
        <v>70.31</v>
      </c>
      <c r="F20" s="30"/>
      <c r="G20" s="30"/>
    </row>
    <row r="21" ht="14.15" spans="1:7">
      <c r="A21" s="7" t="s">
        <v>22</v>
      </c>
      <c r="B21" s="8" t="s">
        <v>27</v>
      </c>
      <c r="C21" s="11">
        <v>97.188603</v>
      </c>
      <c r="D21" s="11">
        <v>42.347163</v>
      </c>
      <c r="E21" s="11">
        <v>54.68</v>
      </c>
      <c r="F21" s="29"/>
      <c r="G21" s="29"/>
    </row>
    <row r="22" ht="14.15" spans="1:7">
      <c r="A22" s="2" t="s">
        <v>22</v>
      </c>
      <c r="B22" s="3" t="s">
        <v>28</v>
      </c>
      <c r="C22" s="6">
        <v>30.453668005</v>
      </c>
      <c r="D22" s="6">
        <v>15.226821</v>
      </c>
      <c r="E22" s="6">
        <v>11.69</v>
      </c>
      <c r="F22" s="30"/>
      <c r="G22" s="30"/>
    </row>
    <row r="23" ht="14.15" spans="1:7">
      <c r="A23" s="7" t="s">
        <v>22</v>
      </c>
      <c r="B23" s="8" t="s">
        <v>16</v>
      </c>
      <c r="C23" s="11">
        <v>0</v>
      </c>
      <c r="D23" s="11">
        <v>0</v>
      </c>
      <c r="E23" s="11">
        <v>0</v>
      </c>
      <c r="F23" s="29"/>
      <c r="G23" s="29"/>
    </row>
    <row r="24" ht="14.15" spans="1:7">
      <c r="A24" s="2" t="s">
        <v>22</v>
      </c>
      <c r="B24" s="3" t="s">
        <v>20</v>
      </c>
      <c r="C24" s="6">
        <v>0</v>
      </c>
      <c r="D24" s="6">
        <v>0</v>
      </c>
      <c r="E24" s="6">
        <v>0</v>
      </c>
      <c r="F24" s="30"/>
      <c r="G24" s="30"/>
    </row>
    <row r="25" ht="15.4" spans="1:7">
      <c r="A25" s="13" t="s">
        <v>29</v>
      </c>
      <c r="B25" s="32"/>
      <c r="C25" s="16">
        <f>SUM(C16:C24)</f>
        <v>4205.901307999</v>
      </c>
      <c r="D25" s="16">
        <f>SUM(D16:D24)</f>
        <v>2096.703502994</v>
      </c>
      <c r="E25" s="16">
        <f>SUM(E16:E24)</f>
        <v>2093.39</v>
      </c>
      <c r="F25" s="33"/>
      <c r="G25" s="33"/>
    </row>
    <row r="26" ht="16.25" spans="1:7">
      <c r="A26" s="34" t="s">
        <v>30</v>
      </c>
      <c r="B26" s="35"/>
      <c r="C26" s="36">
        <f>C15+C25</f>
        <v>63751.661307999</v>
      </c>
      <c r="D26" s="36">
        <f>D15+D25</f>
        <v>34925.083502994</v>
      </c>
      <c r="E26" s="36">
        <f>E15+E25</f>
        <v>28810.77</v>
      </c>
      <c r="F26" s="37"/>
      <c r="G26" s="37"/>
    </row>
  </sheetData>
  <mergeCells count="5">
    <mergeCell ref="A15:B15"/>
    <mergeCell ref="A25:B25"/>
    <mergeCell ref="A26:B26"/>
    <mergeCell ref="F2:F3"/>
    <mergeCell ref="G2:G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97"/>
  <sheetViews>
    <sheetView tabSelected="1" zoomScale="85" zoomScaleNormal="85" workbookViewId="0">
      <pane ySplit="1" topLeftCell="A7" activePane="bottomLeft" state="frozen"/>
      <selection/>
      <selection pane="bottomLeft" activeCell="G10" sqref="G10"/>
    </sheetView>
  </sheetViews>
  <sheetFormatPr defaultColWidth="9" defaultRowHeight="14.1"/>
  <cols>
    <col min="1" max="1" width="23.7837837837838" customWidth="1"/>
    <col min="2" max="2" width="38" customWidth="1"/>
    <col min="3" max="3" width="49.2792792792793" customWidth="1"/>
    <col min="4" max="4" width="38.3063063063063" customWidth="1"/>
    <col min="5" max="5" width="28" customWidth="1"/>
    <col min="6" max="6" width="16" customWidth="1"/>
    <col min="7" max="7" width="18" customWidth="1"/>
    <col min="8" max="8" width="12" customWidth="1"/>
    <col min="9" max="11" width="16" customWidth="1"/>
    <col min="12" max="12" width="16.8648648648649" style="17" customWidth="1"/>
  </cols>
  <sheetData>
    <row r="1" customFormat="1" ht="15.45" spans="1:12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8" t="s">
        <v>41</v>
      </c>
    </row>
    <row r="2" customFormat="1" ht="14.15" spans="1:12">
      <c r="A2" s="7" t="s">
        <v>8</v>
      </c>
      <c r="B2" s="8" t="s">
        <v>42</v>
      </c>
      <c r="C2" s="19" t="s">
        <v>43</v>
      </c>
      <c r="D2" s="8" t="s">
        <v>44</v>
      </c>
      <c r="E2" s="8" t="s">
        <v>45</v>
      </c>
      <c r="F2" s="7" t="s">
        <v>46</v>
      </c>
      <c r="G2" s="10">
        <v>1</v>
      </c>
      <c r="H2" s="7" t="s">
        <v>47</v>
      </c>
      <c r="I2" s="11">
        <v>1683.52</v>
      </c>
      <c r="J2" s="11">
        <v>1010.11</v>
      </c>
      <c r="K2" s="11">
        <v>673.41</v>
      </c>
      <c r="L2" s="20">
        <v>18026.11</v>
      </c>
    </row>
    <row r="3" customFormat="1" ht="14.15" spans="1:12">
      <c r="A3" s="2" t="s">
        <v>9</v>
      </c>
      <c r="B3" s="3" t="s">
        <v>48</v>
      </c>
      <c r="C3" s="21" t="s">
        <v>49</v>
      </c>
      <c r="D3" s="3" t="s">
        <v>50</v>
      </c>
      <c r="E3" s="3" t="s">
        <v>51</v>
      </c>
      <c r="F3" s="2" t="s">
        <v>46</v>
      </c>
      <c r="G3" s="5">
        <v>40</v>
      </c>
      <c r="H3" s="2" t="s">
        <v>52</v>
      </c>
      <c r="I3" s="6">
        <v>20</v>
      </c>
      <c r="J3" s="6">
        <v>10</v>
      </c>
      <c r="K3" s="6">
        <v>10</v>
      </c>
      <c r="L3" s="17"/>
    </row>
    <row r="4" customFormat="1" ht="14.15" spans="1:12">
      <c r="A4" s="7" t="s">
        <v>9</v>
      </c>
      <c r="B4" s="8" t="s">
        <v>53</v>
      </c>
      <c r="C4" s="19" t="s">
        <v>54</v>
      </c>
      <c r="D4" s="8" t="s">
        <v>55</v>
      </c>
      <c r="E4" s="8" t="s">
        <v>56</v>
      </c>
      <c r="F4" s="7" t="s">
        <v>46</v>
      </c>
      <c r="G4" s="10">
        <v>1024</v>
      </c>
      <c r="H4" s="7" t="s">
        <v>52</v>
      </c>
      <c r="I4" s="11">
        <v>512</v>
      </c>
      <c r="J4" s="11">
        <v>256</v>
      </c>
      <c r="K4" s="11">
        <v>256</v>
      </c>
      <c r="L4" s="17"/>
    </row>
    <row r="5" customFormat="1" ht="14.15" hidden="1" spans="1:12">
      <c r="A5" s="2" t="s">
        <v>8</v>
      </c>
      <c r="B5" s="3" t="s">
        <v>57</v>
      </c>
      <c r="C5" s="21" t="s">
        <v>58</v>
      </c>
      <c r="D5" s="3" t="s">
        <v>59</v>
      </c>
      <c r="E5" s="3" t="s">
        <v>60</v>
      </c>
      <c r="F5" s="2" t="s">
        <v>46</v>
      </c>
      <c r="G5" s="5">
        <v>1</v>
      </c>
      <c r="H5" s="2" t="s">
        <v>47</v>
      </c>
      <c r="I5" s="6">
        <v>596</v>
      </c>
      <c r="J5" s="6">
        <v>357.6</v>
      </c>
      <c r="K5" s="6">
        <v>238.4</v>
      </c>
      <c r="L5" s="17">
        <v>9804.48</v>
      </c>
    </row>
    <row r="6" customFormat="1" ht="14.15" spans="1:12">
      <c r="A6" s="7" t="s">
        <v>9</v>
      </c>
      <c r="B6" s="8" t="s">
        <v>61</v>
      </c>
      <c r="C6" s="19" t="s">
        <v>62</v>
      </c>
      <c r="D6" s="8" t="s">
        <v>50</v>
      </c>
      <c r="E6" s="8" t="s">
        <v>51</v>
      </c>
      <c r="F6" s="7" t="s">
        <v>46</v>
      </c>
      <c r="G6" s="10">
        <v>40</v>
      </c>
      <c r="H6" s="7" t="s">
        <v>52</v>
      </c>
      <c r="I6" s="11">
        <v>20</v>
      </c>
      <c r="J6" s="11">
        <v>10</v>
      </c>
      <c r="K6" s="11">
        <v>10</v>
      </c>
      <c r="L6" s="17"/>
    </row>
    <row r="7" customFormat="1" ht="14.15" spans="1:12">
      <c r="A7" s="2" t="s">
        <v>9</v>
      </c>
      <c r="B7" s="3" t="s">
        <v>63</v>
      </c>
      <c r="C7" s="21" t="s">
        <v>64</v>
      </c>
      <c r="D7" s="3" t="s">
        <v>55</v>
      </c>
      <c r="E7" s="3" t="s">
        <v>56</v>
      </c>
      <c r="F7" s="2" t="s">
        <v>46</v>
      </c>
      <c r="G7" s="5">
        <v>1024</v>
      </c>
      <c r="H7" s="2" t="s">
        <v>52</v>
      </c>
      <c r="I7" s="6">
        <v>512</v>
      </c>
      <c r="J7" s="6">
        <v>256</v>
      </c>
      <c r="K7" s="6">
        <v>256</v>
      </c>
      <c r="L7" s="17"/>
    </row>
    <row r="8" customFormat="1" ht="14.15" hidden="1" spans="1:12">
      <c r="A8" s="7" t="s">
        <v>8</v>
      </c>
      <c r="B8" s="8" t="s">
        <v>65</v>
      </c>
      <c r="C8" s="19" t="s">
        <v>66</v>
      </c>
      <c r="D8" s="8" t="s">
        <v>59</v>
      </c>
      <c r="E8" s="8" t="s">
        <v>60</v>
      </c>
      <c r="F8" s="7" t="s">
        <v>46</v>
      </c>
      <c r="G8" s="10">
        <v>1</v>
      </c>
      <c r="H8" s="7" t="s">
        <v>47</v>
      </c>
      <c r="I8" s="11">
        <v>596</v>
      </c>
      <c r="J8" s="11">
        <v>357.6</v>
      </c>
      <c r="K8" s="11">
        <v>238.4</v>
      </c>
      <c r="L8" s="17">
        <v>9804.48</v>
      </c>
    </row>
    <row r="9" customFormat="1" ht="14.15" spans="1:12">
      <c r="A9" s="2" t="s">
        <v>9</v>
      </c>
      <c r="B9" s="3" t="s">
        <v>67</v>
      </c>
      <c r="C9" s="21" t="s">
        <v>68</v>
      </c>
      <c r="D9" s="3" t="s">
        <v>50</v>
      </c>
      <c r="E9" s="3" t="s">
        <v>51</v>
      </c>
      <c r="F9" s="2" t="s">
        <v>46</v>
      </c>
      <c r="G9" s="5">
        <v>40</v>
      </c>
      <c r="H9" s="2" t="s">
        <v>52</v>
      </c>
      <c r="I9" s="6">
        <v>20</v>
      </c>
      <c r="J9" s="6">
        <v>10</v>
      </c>
      <c r="K9" s="6">
        <v>10</v>
      </c>
      <c r="L9" s="17"/>
    </row>
    <row r="10" customFormat="1" ht="14.15" spans="1:12">
      <c r="A10" s="7" t="s">
        <v>9</v>
      </c>
      <c r="B10" s="8" t="s">
        <v>69</v>
      </c>
      <c r="C10" s="19" t="s">
        <v>70</v>
      </c>
      <c r="D10" s="8" t="s">
        <v>55</v>
      </c>
      <c r="E10" s="8" t="s">
        <v>56</v>
      </c>
      <c r="F10" s="2" t="s">
        <v>46</v>
      </c>
      <c r="G10" s="10">
        <v>1024</v>
      </c>
      <c r="H10" s="7" t="s">
        <v>52</v>
      </c>
      <c r="I10" s="11">
        <v>512</v>
      </c>
      <c r="J10" s="11">
        <v>256</v>
      </c>
      <c r="K10" s="11">
        <v>256</v>
      </c>
      <c r="L10" s="17"/>
    </row>
    <row r="11" customFormat="1" ht="14.15" hidden="1" spans="1:12">
      <c r="A11" s="2" t="s">
        <v>8</v>
      </c>
      <c r="B11" s="3" t="s">
        <v>71</v>
      </c>
      <c r="C11" s="21" t="s">
        <v>72</v>
      </c>
      <c r="D11" s="3" t="s">
        <v>73</v>
      </c>
      <c r="E11" s="3" t="s">
        <v>45</v>
      </c>
      <c r="F11" s="2" t="s">
        <v>46</v>
      </c>
      <c r="G11" s="5">
        <v>1</v>
      </c>
      <c r="H11" s="2" t="s">
        <v>47</v>
      </c>
      <c r="I11" s="6">
        <v>420.88</v>
      </c>
      <c r="J11" s="6">
        <v>252.53</v>
      </c>
      <c r="K11" s="6">
        <v>168.35</v>
      </c>
      <c r="L11" s="17">
        <v>4377.05</v>
      </c>
    </row>
    <row r="12" customFormat="1" ht="14.15" hidden="1" spans="1:12">
      <c r="A12" s="7" t="s">
        <v>9</v>
      </c>
      <c r="B12" s="8" t="s">
        <v>74</v>
      </c>
      <c r="C12" s="19" t="s">
        <v>75</v>
      </c>
      <c r="D12" s="8" t="s">
        <v>50</v>
      </c>
      <c r="E12" s="8" t="s">
        <v>51</v>
      </c>
      <c r="F12" s="7" t="s">
        <v>46</v>
      </c>
      <c r="G12" s="10">
        <v>40</v>
      </c>
      <c r="H12" s="7" t="s">
        <v>52</v>
      </c>
      <c r="I12" s="11">
        <v>20</v>
      </c>
      <c r="J12" s="11">
        <v>10</v>
      </c>
      <c r="K12" s="11">
        <v>10</v>
      </c>
      <c r="L12" s="17"/>
    </row>
    <row r="13" customFormat="1" ht="14.15" hidden="1" spans="1:12">
      <c r="A13" s="2" t="s">
        <v>9</v>
      </c>
      <c r="B13" s="3" t="s">
        <v>76</v>
      </c>
      <c r="C13" s="21" t="s">
        <v>77</v>
      </c>
      <c r="D13" s="3" t="s">
        <v>55</v>
      </c>
      <c r="E13" s="3" t="s">
        <v>56</v>
      </c>
      <c r="F13" s="2" t="s">
        <v>46</v>
      </c>
      <c r="G13" s="5">
        <v>200</v>
      </c>
      <c r="H13" s="2" t="s">
        <v>52</v>
      </c>
      <c r="I13" s="6">
        <v>100</v>
      </c>
      <c r="J13" s="6">
        <v>50</v>
      </c>
      <c r="K13" s="6">
        <v>50</v>
      </c>
      <c r="L13" s="17"/>
    </row>
    <row r="14" customFormat="1" ht="14.15" hidden="1" spans="1:12">
      <c r="A14" s="7" t="s">
        <v>8</v>
      </c>
      <c r="B14" s="8" t="s">
        <v>78</v>
      </c>
      <c r="C14" s="19" t="s">
        <v>79</v>
      </c>
      <c r="D14" s="8" t="s">
        <v>80</v>
      </c>
      <c r="E14" s="8" t="s">
        <v>81</v>
      </c>
      <c r="F14" s="7" t="s">
        <v>46</v>
      </c>
      <c r="G14" s="10">
        <v>1</v>
      </c>
      <c r="H14" s="7" t="s">
        <v>47</v>
      </c>
      <c r="I14" s="11">
        <v>285.17</v>
      </c>
      <c r="J14" s="11">
        <v>171.1</v>
      </c>
      <c r="K14" s="11">
        <v>114.07</v>
      </c>
      <c r="L14" s="17">
        <v>3849.08</v>
      </c>
    </row>
    <row r="15" customFormat="1" ht="14.15" hidden="1" spans="1:12">
      <c r="A15" s="2" t="s">
        <v>9</v>
      </c>
      <c r="B15" s="3" t="s">
        <v>82</v>
      </c>
      <c r="C15" s="21" t="s">
        <v>83</v>
      </c>
      <c r="D15" s="3" t="s">
        <v>50</v>
      </c>
      <c r="E15" s="3" t="s">
        <v>51</v>
      </c>
      <c r="F15" s="2" t="s">
        <v>46</v>
      </c>
      <c r="G15" s="5">
        <v>40</v>
      </c>
      <c r="H15" s="2" t="s">
        <v>52</v>
      </c>
      <c r="I15" s="6">
        <v>20</v>
      </c>
      <c r="J15" s="6">
        <v>10</v>
      </c>
      <c r="K15" s="6">
        <v>10</v>
      </c>
      <c r="L15" s="17"/>
    </row>
    <row r="16" customFormat="1" ht="14.15" hidden="1" spans="1:12">
      <c r="A16" s="7" t="s">
        <v>9</v>
      </c>
      <c r="B16" s="8" t="s">
        <v>84</v>
      </c>
      <c r="C16" s="19" t="s">
        <v>85</v>
      </c>
      <c r="D16" s="8" t="s">
        <v>55</v>
      </c>
      <c r="E16" s="8" t="s">
        <v>56</v>
      </c>
      <c r="F16" s="7" t="s">
        <v>46</v>
      </c>
      <c r="G16" s="10">
        <v>300</v>
      </c>
      <c r="H16" s="7" t="s">
        <v>52</v>
      </c>
      <c r="I16" s="11">
        <v>150</v>
      </c>
      <c r="J16" s="11">
        <v>75</v>
      </c>
      <c r="K16" s="11">
        <v>75</v>
      </c>
      <c r="L16" s="17"/>
    </row>
    <row r="17" customFormat="1" ht="14.15" hidden="1" spans="1:12">
      <c r="A17" s="2" t="s">
        <v>8</v>
      </c>
      <c r="B17" s="3" t="s">
        <v>86</v>
      </c>
      <c r="C17" s="21" t="s">
        <v>87</v>
      </c>
      <c r="D17" s="3" t="s">
        <v>88</v>
      </c>
      <c r="E17" s="3" t="s">
        <v>45</v>
      </c>
      <c r="F17" s="2" t="s">
        <v>46</v>
      </c>
      <c r="G17" s="5">
        <v>1</v>
      </c>
      <c r="H17" s="2" t="s">
        <v>47</v>
      </c>
      <c r="I17" s="6">
        <v>210.44</v>
      </c>
      <c r="J17" s="6">
        <v>126.26</v>
      </c>
      <c r="K17" s="6">
        <v>84.18</v>
      </c>
      <c r="L17" s="17">
        <v>2786.12</v>
      </c>
    </row>
    <row r="18" customFormat="1" ht="14.15" hidden="1" spans="1:12">
      <c r="A18" s="7" t="s">
        <v>9</v>
      </c>
      <c r="B18" s="8" t="s">
        <v>89</v>
      </c>
      <c r="C18" s="19" t="s">
        <v>90</v>
      </c>
      <c r="D18" s="8" t="s">
        <v>50</v>
      </c>
      <c r="E18" s="8" t="s">
        <v>51</v>
      </c>
      <c r="F18" s="7" t="s">
        <v>46</v>
      </c>
      <c r="G18" s="10">
        <v>40</v>
      </c>
      <c r="H18" s="7" t="s">
        <v>52</v>
      </c>
      <c r="I18" s="11">
        <v>20</v>
      </c>
      <c r="J18" s="11">
        <v>10</v>
      </c>
      <c r="K18" s="11">
        <v>10</v>
      </c>
      <c r="L18" s="17"/>
    </row>
    <row r="19" customFormat="1" ht="14.15" hidden="1" spans="1:12">
      <c r="A19" s="2" t="s">
        <v>9</v>
      </c>
      <c r="B19" s="3" t="s">
        <v>91</v>
      </c>
      <c r="C19" s="21" t="s">
        <v>92</v>
      </c>
      <c r="D19" s="3" t="s">
        <v>55</v>
      </c>
      <c r="E19" s="3" t="s">
        <v>56</v>
      </c>
      <c r="F19" s="2" t="s">
        <v>46</v>
      </c>
      <c r="G19" s="5">
        <v>200</v>
      </c>
      <c r="H19" s="2" t="s">
        <v>52</v>
      </c>
      <c r="I19" s="6">
        <v>100</v>
      </c>
      <c r="J19" s="6">
        <v>50</v>
      </c>
      <c r="K19" s="6">
        <v>50</v>
      </c>
      <c r="L19" s="17"/>
    </row>
    <row r="20" customFormat="1" ht="14.15" hidden="1" spans="1:12">
      <c r="A20" s="7" t="s">
        <v>8</v>
      </c>
      <c r="B20" s="8" t="s">
        <v>93</v>
      </c>
      <c r="C20" s="19" t="s">
        <v>94</v>
      </c>
      <c r="D20" s="8" t="s">
        <v>95</v>
      </c>
      <c r="E20" s="8" t="s">
        <v>81</v>
      </c>
      <c r="F20" s="7" t="s">
        <v>46</v>
      </c>
      <c r="G20" s="10">
        <v>1</v>
      </c>
      <c r="H20" s="7" t="s">
        <v>47</v>
      </c>
      <c r="I20" s="11">
        <v>570.34</v>
      </c>
      <c r="J20" s="11">
        <v>342.2</v>
      </c>
      <c r="K20" s="11">
        <v>228.14</v>
      </c>
      <c r="L20" s="17">
        <v>6004.97</v>
      </c>
    </row>
    <row r="21" customFormat="1" ht="14.15" hidden="1" spans="1:12">
      <c r="A21" s="2" t="s">
        <v>9</v>
      </c>
      <c r="B21" s="3" t="s">
        <v>96</v>
      </c>
      <c r="C21" s="21" t="s">
        <v>97</v>
      </c>
      <c r="D21" s="3" t="s">
        <v>50</v>
      </c>
      <c r="E21" s="3" t="s">
        <v>51</v>
      </c>
      <c r="F21" s="2" t="s">
        <v>46</v>
      </c>
      <c r="G21" s="5">
        <v>40</v>
      </c>
      <c r="H21" s="2" t="s">
        <v>52</v>
      </c>
      <c r="I21" s="6">
        <v>20</v>
      </c>
      <c r="J21" s="6">
        <v>10</v>
      </c>
      <c r="K21" s="6">
        <v>10</v>
      </c>
      <c r="L21" s="17"/>
    </row>
    <row r="22" customFormat="1" ht="14.15" hidden="1" spans="1:12">
      <c r="A22" s="7" t="s">
        <v>9</v>
      </c>
      <c r="B22" s="8" t="s">
        <v>98</v>
      </c>
      <c r="C22" s="19" t="s">
        <v>99</v>
      </c>
      <c r="D22" s="8" t="s">
        <v>55</v>
      </c>
      <c r="E22" s="8" t="s">
        <v>56</v>
      </c>
      <c r="F22" s="7" t="s">
        <v>46</v>
      </c>
      <c r="G22" s="10">
        <v>300</v>
      </c>
      <c r="H22" s="7" t="s">
        <v>52</v>
      </c>
      <c r="I22" s="11">
        <v>150</v>
      </c>
      <c r="J22" s="11">
        <v>75</v>
      </c>
      <c r="K22" s="11">
        <v>75</v>
      </c>
      <c r="L22" s="17"/>
    </row>
    <row r="23" customFormat="1" ht="14.15" hidden="1" spans="1:12">
      <c r="A23" s="2" t="s">
        <v>8</v>
      </c>
      <c r="B23" s="3" t="s">
        <v>100</v>
      </c>
      <c r="C23" s="21" t="s">
        <v>101</v>
      </c>
      <c r="D23" s="3" t="s">
        <v>102</v>
      </c>
      <c r="E23" s="3" t="s">
        <v>45</v>
      </c>
      <c r="F23" s="2" t="s">
        <v>46</v>
      </c>
      <c r="G23" s="5">
        <v>1</v>
      </c>
      <c r="H23" s="2" t="s">
        <v>47</v>
      </c>
      <c r="I23" s="6">
        <v>841.76</v>
      </c>
      <c r="J23" s="6">
        <v>505.06</v>
      </c>
      <c r="K23" s="6">
        <v>336.7</v>
      </c>
      <c r="L23" s="22">
        <v>11044.9</v>
      </c>
    </row>
    <row r="24" customFormat="1" ht="14.15" hidden="1" spans="1:12">
      <c r="A24" s="7" t="s">
        <v>9</v>
      </c>
      <c r="B24" s="8" t="s">
        <v>103</v>
      </c>
      <c r="C24" s="19" t="s">
        <v>104</v>
      </c>
      <c r="D24" s="8" t="s">
        <v>50</v>
      </c>
      <c r="E24" s="8" t="s">
        <v>51</v>
      </c>
      <c r="F24" s="7" t="s">
        <v>46</v>
      </c>
      <c r="G24" s="10">
        <v>40</v>
      </c>
      <c r="H24" s="7" t="s">
        <v>52</v>
      </c>
      <c r="I24" s="11">
        <v>20</v>
      </c>
      <c r="J24" s="11">
        <v>10</v>
      </c>
      <c r="K24" s="11">
        <v>10</v>
      </c>
      <c r="L24" s="22"/>
    </row>
    <row r="25" customFormat="1" ht="14.15" hidden="1" spans="1:12">
      <c r="A25" s="2" t="s">
        <v>9</v>
      </c>
      <c r="B25" s="3" t="s">
        <v>105</v>
      </c>
      <c r="C25" s="21" t="s">
        <v>106</v>
      </c>
      <c r="D25" s="3" t="s">
        <v>55</v>
      </c>
      <c r="E25" s="3" t="s">
        <v>56</v>
      </c>
      <c r="F25" s="2" t="s">
        <v>46</v>
      </c>
      <c r="G25" s="5">
        <v>300</v>
      </c>
      <c r="H25" s="2" t="s">
        <v>52</v>
      </c>
      <c r="I25" s="6">
        <v>150</v>
      </c>
      <c r="J25" s="6">
        <v>75</v>
      </c>
      <c r="K25" s="6">
        <v>75</v>
      </c>
      <c r="L25" s="22"/>
    </row>
    <row r="26" customFormat="1" ht="14.15" hidden="1" spans="1:12">
      <c r="A26" s="7" t="s">
        <v>9</v>
      </c>
      <c r="B26" s="8" t="s">
        <v>107</v>
      </c>
      <c r="C26" s="19" t="s">
        <v>108</v>
      </c>
      <c r="D26" s="8" t="s">
        <v>55</v>
      </c>
      <c r="E26" s="8" t="s">
        <v>56</v>
      </c>
      <c r="F26" s="7" t="s">
        <v>46</v>
      </c>
      <c r="G26" s="10">
        <v>300</v>
      </c>
      <c r="H26" s="7" t="s">
        <v>52</v>
      </c>
      <c r="I26" s="11">
        <v>150</v>
      </c>
      <c r="J26" s="11">
        <v>75</v>
      </c>
      <c r="K26" s="11">
        <v>75</v>
      </c>
      <c r="L26" s="22"/>
    </row>
    <row r="27" customFormat="1" ht="14.15" hidden="1" spans="1:12">
      <c r="A27" s="2" t="s">
        <v>9</v>
      </c>
      <c r="B27" s="3" t="s">
        <v>109</v>
      </c>
      <c r="C27" s="21" t="s">
        <v>110</v>
      </c>
      <c r="D27" s="3" t="s">
        <v>55</v>
      </c>
      <c r="E27" s="3" t="s">
        <v>56</v>
      </c>
      <c r="F27" s="2" t="s">
        <v>46</v>
      </c>
      <c r="G27" s="5">
        <v>300</v>
      </c>
      <c r="H27" s="2" t="s">
        <v>52</v>
      </c>
      <c r="I27" s="6">
        <v>150</v>
      </c>
      <c r="J27" s="6">
        <v>75</v>
      </c>
      <c r="K27" s="6">
        <v>75</v>
      </c>
      <c r="L27" s="22"/>
    </row>
    <row r="28" customFormat="1" ht="14.15" hidden="1" spans="1:12">
      <c r="A28" s="2" t="s">
        <v>8</v>
      </c>
      <c r="B28" s="3" t="s">
        <v>111</v>
      </c>
      <c r="C28" s="21" t="s">
        <v>112</v>
      </c>
      <c r="D28" s="3" t="s">
        <v>113</v>
      </c>
      <c r="E28" s="3" t="s">
        <v>81</v>
      </c>
      <c r="F28" s="2" t="s">
        <v>46</v>
      </c>
      <c r="G28" s="5">
        <v>1</v>
      </c>
      <c r="H28" s="2" t="s">
        <v>47</v>
      </c>
      <c r="I28" s="6">
        <v>1140.68</v>
      </c>
      <c r="J28" s="6">
        <v>684.41</v>
      </c>
      <c r="K28" s="6">
        <v>456.27</v>
      </c>
      <c r="L28" s="17">
        <v>9818.73</v>
      </c>
    </row>
    <row r="29" customFormat="1" ht="14.15" hidden="1" spans="1:12">
      <c r="A29" s="7" t="s">
        <v>9</v>
      </c>
      <c r="B29" s="8" t="s">
        <v>114</v>
      </c>
      <c r="C29" s="19" t="s">
        <v>115</v>
      </c>
      <c r="D29" s="8" t="s">
        <v>50</v>
      </c>
      <c r="E29" s="8" t="s">
        <v>51</v>
      </c>
      <c r="F29" s="7" t="s">
        <v>46</v>
      </c>
      <c r="G29" s="10">
        <v>40</v>
      </c>
      <c r="H29" s="7" t="s">
        <v>52</v>
      </c>
      <c r="I29" s="11">
        <v>20</v>
      </c>
      <c r="J29" s="11">
        <v>10</v>
      </c>
      <c r="K29" s="11">
        <v>10</v>
      </c>
      <c r="L29" s="17"/>
    </row>
    <row r="30" customFormat="1" ht="14.15" hidden="1" spans="1:12">
      <c r="A30" s="2" t="s">
        <v>9</v>
      </c>
      <c r="B30" s="3" t="s">
        <v>116</v>
      </c>
      <c r="C30" s="21" t="s">
        <v>117</v>
      </c>
      <c r="D30" s="3" t="s">
        <v>55</v>
      </c>
      <c r="E30" s="3" t="s">
        <v>56</v>
      </c>
      <c r="F30" s="2" t="s">
        <v>46</v>
      </c>
      <c r="G30" s="5">
        <v>200</v>
      </c>
      <c r="H30" s="2" t="s">
        <v>52</v>
      </c>
      <c r="I30" s="6">
        <v>100</v>
      </c>
      <c r="J30" s="6">
        <v>50</v>
      </c>
      <c r="K30" s="6">
        <v>50</v>
      </c>
      <c r="L30" s="17"/>
    </row>
    <row r="31" customFormat="1" ht="14.15" hidden="1" spans="1:12">
      <c r="A31" s="7" t="s">
        <v>8</v>
      </c>
      <c r="B31" s="8" t="s">
        <v>118</v>
      </c>
      <c r="C31" s="19" t="s">
        <v>119</v>
      </c>
      <c r="D31" s="8" t="s">
        <v>113</v>
      </c>
      <c r="E31" s="8" t="s">
        <v>81</v>
      </c>
      <c r="F31" s="7" t="s">
        <v>46</v>
      </c>
      <c r="G31" s="10">
        <v>1</v>
      </c>
      <c r="H31" s="7" t="s">
        <v>47</v>
      </c>
      <c r="I31" s="11">
        <v>1140.68</v>
      </c>
      <c r="J31" s="11">
        <v>684.41</v>
      </c>
      <c r="K31" s="11">
        <v>456.27</v>
      </c>
      <c r="L31" s="17">
        <v>9818.73</v>
      </c>
    </row>
    <row r="32" customFormat="1" ht="14.15" hidden="1" spans="1:12">
      <c r="A32" s="2" t="s">
        <v>9</v>
      </c>
      <c r="B32" s="3" t="s">
        <v>120</v>
      </c>
      <c r="C32" s="21" t="s">
        <v>121</v>
      </c>
      <c r="D32" s="3" t="s">
        <v>50</v>
      </c>
      <c r="E32" s="3" t="s">
        <v>51</v>
      </c>
      <c r="F32" s="2" t="s">
        <v>46</v>
      </c>
      <c r="G32" s="5">
        <v>40</v>
      </c>
      <c r="H32" s="2" t="s">
        <v>52</v>
      </c>
      <c r="I32" s="6">
        <v>20</v>
      </c>
      <c r="J32" s="6">
        <v>10</v>
      </c>
      <c r="K32" s="6">
        <v>10</v>
      </c>
      <c r="L32" s="17"/>
    </row>
    <row r="33" customFormat="1" ht="14.15" hidden="1" spans="1:12">
      <c r="A33" s="7" t="s">
        <v>9</v>
      </c>
      <c r="B33" s="8" t="s">
        <v>122</v>
      </c>
      <c r="C33" s="19" t="s">
        <v>123</v>
      </c>
      <c r="D33" s="8" t="s">
        <v>55</v>
      </c>
      <c r="E33" s="8" t="s">
        <v>56</v>
      </c>
      <c r="F33" s="7" t="s">
        <v>46</v>
      </c>
      <c r="G33" s="10">
        <v>200</v>
      </c>
      <c r="H33" s="7" t="s">
        <v>52</v>
      </c>
      <c r="I33" s="11">
        <v>100</v>
      </c>
      <c r="J33" s="11">
        <v>50</v>
      </c>
      <c r="K33" s="11">
        <v>50</v>
      </c>
      <c r="L33" s="17"/>
    </row>
    <row r="34" customFormat="1" ht="14.15" hidden="1" spans="1:12">
      <c r="A34" s="2" t="s">
        <v>8</v>
      </c>
      <c r="B34" s="3" t="s">
        <v>124</v>
      </c>
      <c r="C34" s="21" t="s">
        <v>125</v>
      </c>
      <c r="D34" s="3" t="s">
        <v>113</v>
      </c>
      <c r="E34" s="3" t="s">
        <v>81</v>
      </c>
      <c r="F34" s="2" t="s">
        <v>46</v>
      </c>
      <c r="G34" s="5">
        <v>1</v>
      </c>
      <c r="H34" s="2" t="s">
        <v>47</v>
      </c>
      <c r="I34" s="6">
        <v>1140.68</v>
      </c>
      <c r="J34" s="6">
        <v>684.41</v>
      </c>
      <c r="K34" s="6">
        <v>456.27</v>
      </c>
      <c r="L34" s="17">
        <v>9818.73</v>
      </c>
    </row>
    <row r="35" customFormat="1" ht="14.15" hidden="1" spans="1:12">
      <c r="A35" s="7" t="s">
        <v>9</v>
      </c>
      <c r="B35" s="8" t="s">
        <v>126</v>
      </c>
      <c r="C35" s="19" t="s">
        <v>127</v>
      </c>
      <c r="D35" s="8" t="s">
        <v>50</v>
      </c>
      <c r="E35" s="8" t="s">
        <v>51</v>
      </c>
      <c r="F35" s="7" t="s">
        <v>46</v>
      </c>
      <c r="G35" s="10">
        <v>40</v>
      </c>
      <c r="H35" s="7" t="s">
        <v>52</v>
      </c>
      <c r="I35" s="11">
        <v>20</v>
      </c>
      <c r="J35" s="11">
        <v>10</v>
      </c>
      <c r="K35" s="11">
        <v>10</v>
      </c>
      <c r="L35" s="17"/>
    </row>
    <row r="36" customFormat="1" ht="14.15" hidden="1" spans="1:12">
      <c r="A36" s="2" t="s">
        <v>9</v>
      </c>
      <c r="B36" s="3" t="s">
        <v>128</v>
      </c>
      <c r="C36" s="21" t="s">
        <v>129</v>
      </c>
      <c r="D36" s="3" t="s">
        <v>55</v>
      </c>
      <c r="E36" s="3" t="s">
        <v>56</v>
      </c>
      <c r="F36" s="2" t="s">
        <v>46</v>
      </c>
      <c r="G36" s="5">
        <v>200</v>
      </c>
      <c r="H36" s="2" t="s">
        <v>52</v>
      </c>
      <c r="I36" s="6">
        <v>100</v>
      </c>
      <c r="J36" s="6">
        <v>50</v>
      </c>
      <c r="K36" s="6">
        <v>50</v>
      </c>
      <c r="L36" s="17"/>
    </row>
    <row r="37" customFormat="1" ht="14.15" hidden="1" spans="1:12">
      <c r="A37" s="2" t="s">
        <v>8</v>
      </c>
      <c r="B37" s="3" t="s">
        <v>130</v>
      </c>
      <c r="C37" s="21" t="s">
        <v>131</v>
      </c>
      <c r="D37" s="3" t="s">
        <v>132</v>
      </c>
      <c r="E37" s="3" t="s">
        <v>81</v>
      </c>
      <c r="F37" s="2" t="s">
        <v>46</v>
      </c>
      <c r="G37" s="5">
        <v>1</v>
      </c>
      <c r="H37" s="2" t="s">
        <v>47</v>
      </c>
      <c r="I37" s="6">
        <v>2281.36</v>
      </c>
      <c r="J37" s="6">
        <v>1368.82</v>
      </c>
      <c r="K37" s="6">
        <v>912.54</v>
      </c>
      <c r="L37" s="17">
        <v>18442.26</v>
      </c>
    </row>
    <row r="38" customFormat="1" ht="14.15" hidden="1" spans="1:12">
      <c r="A38" s="2" t="s">
        <v>9</v>
      </c>
      <c r="B38" s="3" t="s">
        <v>133</v>
      </c>
      <c r="C38" s="21" t="s">
        <v>134</v>
      </c>
      <c r="D38" s="3" t="s">
        <v>50</v>
      </c>
      <c r="E38" s="3" t="s">
        <v>51</v>
      </c>
      <c r="F38" s="2" t="s">
        <v>46</v>
      </c>
      <c r="G38" s="5">
        <v>40</v>
      </c>
      <c r="H38" s="2" t="s">
        <v>52</v>
      </c>
      <c r="I38" s="6">
        <v>20</v>
      </c>
      <c r="J38" s="6">
        <v>10</v>
      </c>
      <c r="K38" s="6">
        <v>10</v>
      </c>
      <c r="L38" s="17"/>
    </row>
    <row r="39" customFormat="1" ht="14.15" hidden="1" spans="1:12">
      <c r="A39" s="7" t="s">
        <v>9</v>
      </c>
      <c r="B39" s="8" t="s">
        <v>135</v>
      </c>
      <c r="C39" s="19" t="s">
        <v>136</v>
      </c>
      <c r="D39" s="8" t="s">
        <v>55</v>
      </c>
      <c r="E39" s="8" t="s">
        <v>56</v>
      </c>
      <c r="F39" s="7" t="s">
        <v>46</v>
      </c>
      <c r="G39" s="10">
        <v>200</v>
      </c>
      <c r="H39" s="7" t="s">
        <v>52</v>
      </c>
      <c r="I39" s="11">
        <v>100</v>
      </c>
      <c r="J39" s="11">
        <v>50</v>
      </c>
      <c r="K39" s="11">
        <v>50</v>
      </c>
      <c r="L39" s="17"/>
    </row>
    <row r="40" customFormat="1" ht="14.15" hidden="1" spans="1:12">
      <c r="A40" s="7" t="s">
        <v>8</v>
      </c>
      <c r="B40" s="8" t="s">
        <v>137</v>
      </c>
      <c r="C40" s="19" t="s">
        <v>138</v>
      </c>
      <c r="D40" s="8" t="s">
        <v>132</v>
      </c>
      <c r="E40" s="8" t="s">
        <v>81</v>
      </c>
      <c r="F40" s="7" t="s">
        <v>46</v>
      </c>
      <c r="G40" s="10">
        <v>1</v>
      </c>
      <c r="H40" s="7" t="s">
        <v>47</v>
      </c>
      <c r="I40" s="11">
        <v>2281.36</v>
      </c>
      <c r="J40" s="11">
        <v>1368.82</v>
      </c>
      <c r="K40" s="11">
        <v>912.54</v>
      </c>
      <c r="L40" s="17">
        <v>18442.26</v>
      </c>
    </row>
    <row r="41" customFormat="1" ht="14.15" hidden="1" spans="1:12">
      <c r="A41" s="2" t="s">
        <v>9</v>
      </c>
      <c r="B41" s="3" t="s">
        <v>139</v>
      </c>
      <c r="C41" s="21" t="s">
        <v>140</v>
      </c>
      <c r="D41" s="3" t="s">
        <v>50</v>
      </c>
      <c r="E41" s="3" t="s">
        <v>51</v>
      </c>
      <c r="F41" s="2" t="s">
        <v>46</v>
      </c>
      <c r="G41" s="5">
        <v>40</v>
      </c>
      <c r="H41" s="2" t="s">
        <v>52</v>
      </c>
      <c r="I41" s="6">
        <v>20</v>
      </c>
      <c r="J41" s="6">
        <v>10</v>
      </c>
      <c r="K41" s="6">
        <v>10</v>
      </c>
      <c r="L41" s="17"/>
    </row>
    <row r="42" customFormat="1" ht="14.15" hidden="1" spans="1:12">
      <c r="A42" s="7" t="s">
        <v>9</v>
      </c>
      <c r="B42" s="8" t="s">
        <v>141</v>
      </c>
      <c r="C42" s="19" t="s">
        <v>142</v>
      </c>
      <c r="D42" s="8" t="s">
        <v>55</v>
      </c>
      <c r="E42" s="8" t="s">
        <v>56</v>
      </c>
      <c r="F42" s="7" t="s">
        <v>46</v>
      </c>
      <c r="G42" s="10">
        <v>200</v>
      </c>
      <c r="H42" s="7" t="s">
        <v>52</v>
      </c>
      <c r="I42" s="11">
        <v>100</v>
      </c>
      <c r="J42" s="11">
        <v>50</v>
      </c>
      <c r="K42" s="11">
        <v>50</v>
      </c>
      <c r="L42" s="17"/>
    </row>
    <row r="43" customFormat="1" ht="14.15" hidden="1" spans="1:12">
      <c r="A43" s="2" t="s">
        <v>8</v>
      </c>
      <c r="B43" s="3" t="s">
        <v>143</v>
      </c>
      <c r="C43" s="21" t="s">
        <v>144</v>
      </c>
      <c r="D43" s="3" t="s">
        <v>132</v>
      </c>
      <c r="E43" s="3" t="s">
        <v>81</v>
      </c>
      <c r="F43" s="2" t="s">
        <v>46</v>
      </c>
      <c r="G43" s="5">
        <v>1</v>
      </c>
      <c r="H43" s="2" t="s">
        <v>47</v>
      </c>
      <c r="I43" s="6">
        <v>2281.36</v>
      </c>
      <c r="J43" s="6">
        <v>1368.82</v>
      </c>
      <c r="K43" s="6">
        <v>912.54</v>
      </c>
      <c r="L43" s="17">
        <v>18442.26</v>
      </c>
    </row>
    <row r="44" customFormat="1" ht="14.15" hidden="1" spans="1:12">
      <c r="A44" s="2" t="s">
        <v>9</v>
      </c>
      <c r="B44" s="3" t="s">
        <v>145</v>
      </c>
      <c r="C44" s="21" t="s">
        <v>146</v>
      </c>
      <c r="D44" s="3" t="s">
        <v>50</v>
      </c>
      <c r="E44" s="3" t="s">
        <v>51</v>
      </c>
      <c r="F44" s="2" t="s">
        <v>46</v>
      </c>
      <c r="G44" s="5">
        <v>40</v>
      </c>
      <c r="H44" s="2" t="s">
        <v>52</v>
      </c>
      <c r="I44" s="6">
        <v>20</v>
      </c>
      <c r="J44" s="6">
        <v>10</v>
      </c>
      <c r="K44" s="6">
        <v>10</v>
      </c>
      <c r="L44" s="17"/>
    </row>
    <row r="45" customFormat="1" ht="14.15" hidden="1" spans="1:12">
      <c r="A45" s="7" t="s">
        <v>9</v>
      </c>
      <c r="B45" s="8" t="s">
        <v>147</v>
      </c>
      <c r="C45" s="19" t="s">
        <v>148</v>
      </c>
      <c r="D45" s="8" t="s">
        <v>55</v>
      </c>
      <c r="E45" s="8" t="s">
        <v>56</v>
      </c>
      <c r="F45" s="7" t="s">
        <v>46</v>
      </c>
      <c r="G45" s="10">
        <v>200</v>
      </c>
      <c r="H45" s="7" t="s">
        <v>52</v>
      </c>
      <c r="I45" s="11">
        <v>100</v>
      </c>
      <c r="J45" s="11">
        <v>50</v>
      </c>
      <c r="K45" s="11">
        <v>50</v>
      </c>
      <c r="L45" s="17"/>
    </row>
    <row r="46" customFormat="1" ht="14.15" hidden="1" spans="1:12">
      <c r="A46" s="7" t="s">
        <v>8</v>
      </c>
      <c r="B46" s="8" t="s">
        <v>149</v>
      </c>
      <c r="C46" s="19" t="s">
        <v>150</v>
      </c>
      <c r="D46" s="8" t="s">
        <v>132</v>
      </c>
      <c r="E46" s="8" t="s">
        <v>81</v>
      </c>
      <c r="F46" s="7" t="s">
        <v>46</v>
      </c>
      <c r="G46" s="10">
        <v>1</v>
      </c>
      <c r="H46" s="7" t="s">
        <v>47</v>
      </c>
      <c r="I46" s="11">
        <v>2281.36</v>
      </c>
      <c r="J46" s="11">
        <v>1368.82</v>
      </c>
      <c r="K46" s="11">
        <v>912.54</v>
      </c>
      <c r="L46" s="17">
        <v>18442.26</v>
      </c>
    </row>
    <row r="47" customFormat="1" ht="14.15" hidden="1" spans="1:12">
      <c r="A47" s="2" t="s">
        <v>9</v>
      </c>
      <c r="B47" s="3" t="s">
        <v>151</v>
      </c>
      <c r="C47" s="21" t="s">
        <v>152</v>
      </c>
      <c r="D47" s="3" t="s">
        <v>50</v>
      </c>
      <c r="E47" s="3" t="s">
        <v>51</v>
      </c>
      <c r="F47" s="2" t="s">
        <v>46</v>
      </c>
      <c r="G47" s="5">
        <v>40</v>
      </c>
      <c r="H47" s="2" t="s">
        <v>52</v>
      </c>
      <c r="I47" s="6">
        <v>20</v>
      </c>
      <c r="J47" s="6">
        <v>10</v>
      </c>
      <c r="K47" s="6">
        <v>10</v>
      </c>
      <c r="L47" s="17"/>
    </row>
    <row r="48" customFormat="1" ht="14.15" hidden="1" spans="1:12">
      <c r="A48" s="7" t="s">
        <v>9</v>
      </c>
      <c r="B48" s="8" t="s">
        <v>153</v>
      </c>
      <c r="C48" s="19" t="s">
        <v>154</v>
      </c>
      <c r="D48" s="8" t="s">
        <v>55</v>
      </c>
      <c r="E48" s="8" t="s">
        <v>56</v>
      </c>
      <c r="F48" s="7" t="s">
        <v>46</v>
      </c>
      <c r="G48" s="10">
        <v>200</v>
      </c>
      <c r="H48" s="7" t="s">
        <v>52</v>
      </c>
      <c r="I48" s="11">
        <v>100</v>
      </c>
      <c r="J48" s="11">
        <v>50</v>
      </c>
      <c r="K48" s="11">
        <v>50</v>
      </c>
      <c r="L48" s="17"/>
    </row>
    <row r="49" customFormat="1" ht="14.15" hidden="1" spans="1:12">
      <c r="A49" s="2" t="s">
        <v>8</v>
      </c>
      <c r="B49" s="3" t="s">
        <v>155</v>
      </c>
      <c r="C49" s="21" t="s">
        <v>156</v>
      </c>
      <c r="D49" s="3" t="s">
        <v>132</v>
      </c>
      <c r="E49" s="3" t="s">
        <v>81</v>
      </c>
      <c r="F49" s="2" t="s">
        <v>46</v>
      </c>
      <c r="G49" s="5">
        <v>1</v>
      </c>
      <c r="H49" s="2" t="s">
        <v>47</v>
      </c>
      <c r="I49" s="6">
        <v>2281.36</v>
      </c>
      <c r="J49" s="6">
        <v>1368.82</v>
      </c>
      <c r="K49" s="6">
        <v>912.54</v>
      </c>
      <c r="L49" s="17">
        <v>18442.26</v>
      </c>
    </row>
    <row r="50" customFormat="1" ht="14.15" hidden="1" spans="1:12">
      <c r="A50" s="2" t="s">
        <v>9</v>
      </c>
      <c r="B50" s="3" t="s">
        <v>157</v>
      </c>
      <c r="C50" s="21" t="s">
        <v>158</v>
      </c>
      <c r="D50" s="3" t="s">
        <v>50</v>
      </c>
      <c r="E50" s="3" t="s">
        <v>51</v>
      </c>
      <c r="F50" s="2" t="s">
        <v>46</v>
      </c>
      <c r="G50" s="5">
        <v>40</v>
      </c>
      <c r="H50" s="2" t="s">
        <v>52</v>
      </c>
      <c r="I50" s="6">
        <v>20</v>
      </c>
      <c r="J50" s="6">
        <v>10</v>
      </c>
      <c r="K50" s="6">
        <v>10</v>
      </c>
      <c r="L50" s="17"/>
    </row>
    <row r="51" customFormat="1" ht="14.15" hidden="1" spans="1:12">
      <c r="A51" s="7" t="s">
        <v>9</v>
      </c>
      <c r="B51" s="8" t="s">
        <v>159</v>
      </c>
      <c r="C51" s="19" t="s">
        <v>160</v>
      </c>
      <c r="D51" s="8" t="s">
        <v>55</v>
      </c>
      <c r="E51" s="8" t="s">
        <v>56</v>
      </c>
      <c r="F51" s="7" t="s">
        <v>46</v>
      </c>
      <c r="G51" s="10">
        <v>200</v>
      </c>
      <c r="H51" s="7" t="s">
        <v>52</v>
      </c>
      <c r="I51" s="11">
        <v>100</v>
      </c>
      <c r="J51" s="11">
        <v>50</v>
      </c>
      <c r="K51" s="11">
        <v>50</v>
      </c>
      <c r="L51" s="17"/>
    </row>
    <row r="52" customFormat="1" ht="14.15" hidden="1" spans="1:12">
      <c r="A52" s="7" t="s">
        <v>8</v>
      </c>
      <c r="B52" s="8" t="s">
        <v>161</v>
      </c>
      <c r="C52" s="19" t="s">
        <v>162</v>
      </c>
      <c r="D52" s="8" t="s">
        <v>73</v>
      </c>
      <c r="E52" s="8" t="s">
        <v>45</v>
      </c>
      <c r="F52" s="7" t="s">
        <v>46</v>
      </c>
      <c r="G52" s="10">
        <v>1</v>
      </c>
      <c r="H52" s="7" t="s">
        <v>47</v>
      </c>
      <c r="I52" s="11">
        <v>420.88</v>
      </c>
      <c r="J52" s="11">
        <v>252.53</v>
      </c>
      <c r="K52" s="11">
        <v>168.35</v>
      </c>
      <c r="L52" s="17">
        <v>5771.45</v>
      </c>
    </row>
    <row r="53" customFormat="1" ht="14.15" hidden="1" spans="1:12">
      <c r="A53" s="2" t="s">
        <v>9</v>
      </c>
      <c r="B53" s="3" t="s">
        <v>163</v>
      </c>
      <c r="C53" s="21" t="s">
        <v>164</v>
      </c>
      <c r="D53" s="3" t="s">
        <v>50</v>
      </c>
      <c r="E53" s="3" t="s">
        <v>51</v>
      </c>
      <c r="F53" s="2" t="s">
        <v>46</v>
      </c>
      <c r="G53" s="5">
        <v>20</v>
      </c>
      <c r="H53" s="2" t="s">
        <v>52</v>
      </c>
      <c r="I53" s="6">
        <v>10</v>
      </c>
      <c r="J53" s="6">
        <v>5</v>
      </c>
      <c r="K53" s="6">
        <v>5</v>
      </c>
      <c r="L53" s="17"/>
    </row>
    <row r="54" customFormat="1" ht="14.15" hidden="1" spans="1:12">
      <c r="A54" s="7" t="s">
        <v>9</v>
      </c>
      <c r="B54" s="8" t="s">
        <v>165</v>
      </c>
      <c r="C54" s="19" t="s">
        <v>166</v>
      </c>
      <c r="D54" s="8" t="s">
        <v>55</v>
      </c>
      <c r="E54" s="8" t="s">
        <v>56</v>
      </c>
      <c r="F54" s="7" t="s">
        <v>46</v>
      </c>
      <c r="G54" s="10">
        <v>500</v>
      </c>
      <c r="H54" s="7" t="s">
        <v>52</v>
      </c>
      <c r="I54" s="11">
        <v>250</v>
      </c>
      <c r="J54" s="11">
        <v>125</v>
      </c>
      <c r="K54" s="11">
        <v>125</v>
      </c>
      <c r="L54" s="17"/>
    </row>
    <row r="55" customFormat="1" ht="14.15" hidden="1" spans="1:12">
      <c r="A55" s="2" t="s">
        <v>8</v>
      </c>
      <c r="B55" s="3" t="s">
        <v>167</v>
      </c>
      <c r="C55" s="21" t="s">
        <v>168</v>
      </c>
      <c r="D55" s="3" t="s">
        <v>44</v>
      </c>
      <c r="E55" s="3" t="s">
        <v>45</v>
      </c>
      <c r="F55" s="2" t="s">
        <v>46</v>
      </c>
      <c r="G55" s="5">
        <v>1</v>
      </c>
      <c r="H55" s="2" t="s">
        <v>47</v>
      </c>
      <c r="I55" s="6">
        <v>1683.52</v>
      </c>
      <c r="J55" s="6">
        <v>1010.11</v>
      </c>
      <c r="K55" s="6">
        <v>673.41</v>
      </c>
      <c r="L55" s="17">
        <v>13922.59</v>
      </c>
    </row>
    <row r="56" customFormat="1" ht="14.15" hidden="1" spans="1:12">
      <c r="A56" s="2" t="s">
        <v>9</v>
      </c>
      <c r="B56" s="3" t="s">
        <v>169</v>
      </c>
      <c r="C56" s="21" t="s">
        <v>170</v>
      </c>
      <c r="D56" s="3" t="s">
        <v>50</v>
      </c>
      <c r="E56" s="3" t="s">
        <v>51</v>
      </c>
      <c r="F56" s="2" t="s">
        <v>46</v>
      </c>
      <c r="G56" s="5">
        <v>40</v>
      </c>
      <c r="H56" s="2" t="s">
        <v>52</v>
      </c>
      <c r="I56" s="6">
        <v>20</v>
      </c>
      <c r="J56" s="6">
        <v>10</v>
      </c>
      <c r="K56" s="6">
        <v>10</v>
      </c>
      <c r="L56" s="17"/>
    </row>
    <row r="57" customFormat="1" ht="14.15" hidden="1" spans="1:12">
      <c r="A57" s="2" t="s">
        <v>9</v>
      </c>
      <c r="B57" s="3" t="s">
        <v>171</v>
      </c>
      <c r="C57" s="21" t="s">
        <v>172</v>
      </c>
      <c r="D57" s="3" t="s">
        <v>55</v>
      </c>
      <c r="E57" s="3" t="s">
        <v>56</v>
      </c>
      <c r="F57" s="2" t="s">
        <v>46</v>
      </c>
      <c r="G57" s="5">
        <v>200</v>
      </c>
      <c r="H57" s="2" t="s">
        <v>52</v>
      </c>
      <c r="I57" s="6">
        <v>100</v>
      </c>
      <c r="J57" s="6">
        <v>50</v>
      </c>
      <c r="K57" s="6">
        <v>50</v>
      </c>
      <c r="L57" s="17"/>
    </row>
    <row r="58" customFormat="1" ht="14.15" hidden="1" spans="1:12">
      <c r="A58" s="7" t="s">
        <v>8</v>
      </c>
      <c r="B58" s="8" t="s">
        <v>173</v>
      </c>
      <c r="C58" s="19" t="s">
        <v>174</v>
      </c>
      <c r="D58" s="8" t="s">
        <v>44</v>
      </c>
      <c r="E58" s="8" t="s">
        <v>45</v>
      </c>
      <c r="F58" s="7" t="s">
        <v>46</v>
      </c>
      <c r="G58" s="10">
        <v>1</v>
      </c>
      <c r="H58" s="7" t="s">
        <v>47</v>
      </c>
      <c r="I58" s="11">
        <v>1683.52</v>
      </c>
      <c r="J58" s="11">
        <v>1010.11</v>
      </c>
      <c r="K58" s="11">
        <v>673.41</v>
      </c>
      <c r="L58" s="17">
        <v>15416.59</v>
      </c>
    </row>
    <row r="59" customFormat="1" ht="14.15" hidden="1" spans="1:12">
      <c r="A59" s="7" t="s">
        <v>9</v>
      </c>
      <c r="B59" s="8" t="s">
        <v>175</v>
      </c>
      <c r="C59" s="19" t="s">
        <v>170</v>
      </c>
      <c r="D59" s="8" t="s">
        <v>50</v>
      </c>
      <c r="E59" s="8" t="s">
        <v>51</v>
      </c>
      <c r="F59" s="7" t="s">
        <v>46</v>
      </c>
      <c r="G59" s="10">
        <v>40</v>
      </c>
      <c r="H59" s="7" t="s">
        <v>52</v>
      </c>
      <c r="I59" s="11">
        <v>20</v>
      </c>
      <c r="J59" s="11">
        <v>10</v>
      </c>
      <c r="K59" s="11">
        <v>10</v>
      </c>
      <c r="L59" s="17"/>
    </row>
    <row r="60" customFormat="1" ht="14.15" hidden="1" spans="1:12">
      <c r="A60" s="7" t="s">
        <v>9</v>
      </c>
      <c r="B60" s="8" t="s">
        <v>176</v>
      </c>
      <c r="C60" s="19" t="s">
        <v>172</v>
      </c>
      <c r="D60" s="8" t="s">
        <v>55</v>
      </c>
      <c r="E60" s="8" t="s">
        <v>56</v>
      </c>
      <c r="F60" s="7" t="s">
        <v>46</v>
      </c>
      <c r="G60" s="10">
        <v>500</v>
      </c>
      <c r="H60" s="7" t="s">
        <v>52</v>
      </c>
      <c r="I60" s="11">
        <v>250</v>
      </c>
      <c r="J60" s="11">
        <v>125</v>
      </c>
      <c r="K60" s="11">
        <v>125</v>
      </c>
      <c r="L60" s="17"/>
    </row>
    <row r="61" customFormat="1" ht="14.15" hidden="1" spans="1:12">
      <c r="A61" s="2" t="s">
        <v>8</v>
      </c>
      <c r="B61" s="3" t="s">
        <v>177</v>
      </c>
      <c r="C61" s="21" t="s">
        <v>178</v>
      </c>
      <c r="D61" s="3" t="s">
        <v>44</v>
      </c>
      <c r="E61" s="3" t="s">
        <v>45</v>
      </c>
      <c r="F61" s="2" t="s">
        <v>46</v>
      </c>
      <c r="G61" s="5">
        <v>1</v>
      </c>
      <c r="H61" s="2" t="s">
        <v>47</v>
      </c>
      <c r="I61" s="6">
        <v>1683.52</v>
      </c>
      <c r="J61" s="6">
        <v>1010.11</v>
      </c>
      <c r="K61" s="6">
        <v>673.41</v>
      </c>
      <c r="L61" s="17">
        <v>13922.59</v>
      </c>
    </row>
    <row r="62" customFormat="1" ht="14.15" hidden="1" spans="1:12">
      <c r="A62" s="7" t="s">
        <v>9</v>
      </c>
      <c r="B62" s="8" t="s">
        <v>179</v>
      </c>
      <c r="C62" s="19" t="s">
        <v>180</v>
      </c>
      <c r="D62" s="8" t="s">
        <v>50</v>
      </c>
      <c r="E62" s="8" t="s">
        <v>51</v>
      </c>
      <c r="F62" s="7" t="s">
        <v>46</v>
      </c>
      <c r="G62" s="10">
        <v>40</v>
      </c>
      <c r="H62" s="7" t="s">
        <v>52</v>
      </c>
      <c r="I62" s="11">
        <v>20</v>
      </c>
      <c r="J62" s="11">
        <v>10</v>
      </c>
      <c r="K62" s="11">
        <v>10</v>
      </c>
      <c r="L62" s="17"/>
    </row>
    <row r="63" customFormat="1" ht="14.15" hidden="1" spans="1:12">
      <c r="A63" s="2" t="s">
        <v>9</v>
      </c>
      <c r="B63" s="3" t="s">
        <v>181</v>
      </c>
      <c r="C63" s="21" t="s">
        <v>182</v>
      </c>
      <c r="D63" s="3" t="s">
        <v>55</v>
      </c>
      <c r="E63" s="3" t="s">
        <v>56</v>
      </c>
      <c r="F63" s="2" t="s">
        <v>46</v>
      </c>
      <c r="G63" s="5">
        <v>200</v>
      </c>
      <c r="H63" s="2" t="s">
        <v>52</v>
      </c>
      <c r="I63" s="6">
        <v>100</v>
      </c>
      <c r="J63" s="6">
        <v>50</v>
      </c>
      <c r="K63" s="6">
        <v>50</v>
      </c>
      <c r="L63" s="17"/>
    </row>
    <row r="64" customFormat="1" ht="14.15" hidden="1" spans="1:12">
      <c r="A64" s="7" t="s">
        <v>8</v>
      </c>
      <c r="B64" s="8" t="s">
        <v>183</v>
      </c>
      <c r="C64" s="19" t="s">
        <v>184</v>
      </c>
      <c r="D64" s="8" t="s">
        <v>44</v>
      </c>
      <c r="E64" s="8" t="s">
        <v>45</v>
      </c>
      <c r="F64" s="7" t="s">
        <v>46</v>
      </c>
      <c r="G64" s="10">
        <v>1</v>
      </c>
      <c r="H64" s="7" t="s">
        <v>47</v>
      </c>
      <c r="I64" s="11">
        <v>1683.52</v>
      </c>
      <c r="J64" s="11">
        <v>1010.11</v>
      </c>
      <c r="K64" s="11">
        <v>673.41</v>
      </c>
      <c r="L64" s="20">
        <v>18026.11</v>
      </c>
    </row>
    <row r="65" customFormat="1" ht="14.15" hidden="1" spans="1:12">
      <c r="A65" s="2" t="s">
        <v>9</v>
      </c>
      <c r="B65" s="3" t="s">
        <v>185</v>
      </c>
      <c r="C65" s="21" t="s">
        <v>186</v>
      </c>
      <c r="D65" s="3" t="s">
        <v>50</v>
      </c>
      <c r="E65" s="3" t="s">
        <v>51</v>
      </c>
      <c r="F65" s="2" t="s">
        <v>46</v>
      </c>
      <c r="G65" s="5">
        <v>40</v>
      </c>
      <c r="H65" s="2" t="s">
        <v>52</v>
      </c>
      <c r="I65" s="6">
        <v>20</v>
      </c>
      <c r="J65" s="6">
        <v>10</v>
      </c>
      <c r="K65" s="6">
        <v>10</v>
      </c>
      <c r="L65" s="17"/>
    </row>
    <row r="66" customFormat="1" ht="14.15" hidden="1" spans="1:12">
      <c r="A66" s="7" t="s">
        <v>9</v>
      </c>
      <c r="B66" s="8" t="s">
        <v>187</v>
      </c>
      <c r="C66" s="19" t="s">
        <v>188</v>
      </c>
      <c r="D66" s="8" t="s">
        <v>55</v>
      </c>
      <c r="E66" s="8" t="s">
        <v>56</v>
      </c>
      <c r="F66" s="7" t="s">
        <v>46</v>
      </c>
      <c r="G66" s="10">
        <v>1024</v>
      </c>
      <c r="H66" s="7" t="s">
        <v>52</v>
      </c>
      <c r="I66" s="11">
        <v>512</v>
      </c>
      <c r="J66" s="11">
        <v>256</v>
      </c>
      <c r="K66" s="11">
        <v>256</v>
      </c>
      <c r="L66" s="17"/>
    </row>
    <row r="67" customFormat="1" ht="14.15" hidden="1" spans="1:12">
      <c r="A67" s="2" t="s">
        <v>8</v>
      </c>
      <c r="B67" s="3" t="s">
        <v>189</v>
      </c>
      <c r="C67" s="21" t="s">
        <v>190</v>
      </c>
      <c r="D67" s="3" t="s">
        <v>44</v>
      </c>
      <c r="E67" s="3" t="s">
        <v>45</v>
      </c>
      <c r="F67" s="2" t="s">
        <v>46</v>
      </c>
      <c r="G67" s="5">
        <v>1</v>
      </c>
      <c r="H67" s="2" t="s">
        <v>47</v>
      </c>
      <c r="I67" s="6">
        <v>1683.52</v>
      </c>
      <c r="J67" s="6">
        <v>1010.11</v>
      </c>
      <c r="K67" s="6">
        <v>673.41</v>
      </c>
      <c r="L67" s="20">
        <v>18026.11</v>
      </c>
    </row>
    <row r="68" customFormat="1" ht="14.15" hidden="1" spans="1:12">
      <c r="A68" s="7" t="s">
        <v>9</v>
      </c>
      <c r="B68" s="8" t="s">
        <v>191</v>
      </c>
      <c r="C68" s="19" t="s">
        <v>192</v>
      </c>
      <c r="D68" s="8" t="s">
        <v>50</v>
      </c>
      <c r="E68" s="8" t="s">
        <v>51</v>
      </c>
      <c r="F68" s="7" t="s">
        <v>46</v>
      </c>
      <c r="G68" s="10">
        <v>40</v>
      </c>
      <c r="H68" s="7" t="s">
        <v>52</v>
      </c>
      <c r="I68" s="11">
        <v>20</v>
      </c>
      <c r="J68" s="11">
        <v>10</v>
      </c>
      <c r="K68" s="11">
        <v>10</v>
      </c>
      <c r="L68" s="17"/>
    </row>
    <row r="69" customFormat="1" ht="14.15" hidden="1" spans="1:12">
      <c r="A69" s="2" t="s">
        <v>9</v>
      </c>
      <c r="B69" s="3" t="s">
        <v>193</v>
      </c>
      <c r="C69" s="21" t="s">
        <v>194</v>
      </c>
      <c r="D69" s="3" t="s">
        <v>55</v>
      </c>
      <c r="E69" s="3" t="s">
        <v>56</v>
      </c>
      <c r="F69" s="2" t="s">
        <v>46</v>
      </c>
      <c r="G69" s="5">
        <v>1024</v>
      </c>
      <c r="H69" s="2" t="s">
        <v>52</v>
      </c>
      <c r="I69" s="6">
        <v>512</v>
      </c>
      <c r="J69" s="6">
        <v>256</v>
      </c>
      <c r="K69" s="6">
        <v>256</v>
      </c>
      <c r="L69" s="17"/>
    </row>
    <row r="70" customFormat="1" ht="14.15" hidden="1" spans="1:12">
      <c r="A70" s="7" t="s">
        <v>8</v>
      </c>
      <c r="B70" s="8" t="s">
        <v>195</v>
      </c>
      <c r="C70" s="19" t="s">
        <v>196</v>
      </c>
      <c r="D70" s="8" t="s">
        <v>44</v>
      </c>
      <c r="E70" s="8" t="s">
        <v>45</v>
      </c>
      <c r="F70" s="7" t="s">
        <v>46</v>
      </c>
      <c r="G70" s="10">
        <v>1</v>
      </c>
      <c r="H70" s="7" t="s">
        <v>47</v>
      </c>
      <c r="I70" s="11">
        <v>1683.52</v>
      </c>
      <c r="J70" s="11">
        <v>1010.11</v>
      </c>
      <c r="K70" s="11">
        <v>673.41</v>
      </c>
      <c r="L70" s="20">
        <v>18026.11</v>
      </c>
    </row>
    <row r="71" customFormat="1" ht="14.15" hidden="1" spans="1:12">
      <c r="A71" s="2" t="s">
        <v>9</v>
      </c>
      <c r="B71" s="3" t="s">
        <v>197</v>
      </c>
      <c r="C71" s="21" t="s">
        <v>198</v>
      </c>
      <c r="D71" s="3" t="s">
        <v>50</v>
      </c>
      <c r="E71" s="3" t="s">
        <v>51</v>
      </c>
      <c r="F71" s="2" t="s">
        <v>46</v>
      </c>
      <c r="G71" s="5">
        <v>40</v>
      </c>
      <c r="H71" s="2" t="s">
        <v>52</v>
      </c>
      <c r="I71" s="6">
        <v>20</v>
      </c>
      <c r="J71" s="6">
        <v>10</v>
      </c>
      <c r="K71" s="6">
        <v>10</v>
      </c>
      <c r="L71" s="17"/>
    </row>
    <row r="72" customFormat="1" ht="14.15" hidden="1" spans="1:12">
      <c r="A72" s="7" t="s">
        <v>9</v>
      </c>
      <c r="B72" s="8" t="s">
        <v>199</v>
      </c>
      <c r="C72" s="19" t="s">
        <v>200</v>
      </c>
      <c r="D72" s="8" t="s">
        <v>55</v>
      </c>
      <c r="E72" s="8" t="s">
        <v>56</v>
      </c>
      <c r="F72" s="7" t="s">
        <v>46</v>
      </c>
      <c r="G72" s="10">
        <v>1024</v>
      </c>
      <c r="H72" s="7" t="s">
        <v>52</v>
      </c>
      <c r="I72" s="11">
        <v>512</v>
      </c>
      <c r="J72" s="11">
        <v>256</v>
      </c>
      <c r="K72" s="11">
        <v>256</v>
      </c>
      <c r="L72" s="17"/>
    </row>
    <row r="73" customFormat="1" ht="14.15" hidden="1" spans="1:12">
      <c r="A73" s="7" t="s">
        <v>13</v>
      </c>
      <c r="B73" s="8" t="s">
        <v>201</v>
      </c>
      <c r="C73" s="8" t="s">
        <v>202</v>
      </c>
      <c r="D73" s="8" t="s">
        <v>203</v>
      </c>
      <c r="E73" s="8" t="s">
        <v>204</v>
      </c>
      <c r="F73" s="7" t="s">
        <v>46</v>
      </c>
      <c r="G73" s="10">
        <v>3</v>
      </c>
      <c r="H73" s="7" t="s">
        <v>205</v>
      </c>
      <c r="I73" s="11">
        <v>1740</v>
      </c>
      <c r="J73" s="11">
        <v>870</v>
      </c>
      <c r="K73" s="11">
        <v>870</v>
      </c>
      <c r="L73" s="17">
        <v>19440</v>
      </c>
    </row>
    <row r="74" customFormat="1" ht="14.15" hidden="1" spans="1:12">
      <c r="A74" s="2" t="s">
        <v>13</v>
      </c>
      <c r="B74" s="3" t="s">
        <v>201</v>
      </c>
      <c r="C74" s="3" t="s">
        <v>202</v>
      </c>
      <c r="D74" s="3" t="s">
        <v>203</v>
      </c>
      <c r="E74" s="3" t="s">
        <v>206</v>
      </c>
      <c r="F74" s="2" t="s">
        <v>46</v>
      </c>
      <c r="G74" s="5">
        <v>600</v>
      </c>
      <c r="H74" s="2" t="s">
        <v>52</v>
      </c>
      <c r="I74" s="6">
        <v>420</v>
      </c>
      <c r="J74" s="6">
        <v>210</v>
      </c>
      <c r="K74" s="6">
        <v>210</v>
      </c>
      <c r="L74" s="17"/>
    </row>
    <row r="75" customFormat="1" ht="14.15" hidden="1" spans="1:12">
      <c r="A75" s="7" t="s">
        <v>10</v>
      </c>
      <c r="B75" s="8" t="s">
        <v>207</v>
      </c>
      <c r="C75" s="8" t="s">
        <v>208</v>
      </c>
      <c r="D75" s="8" t="s">
        <v>209</v>
      </c>
      <c r="E75" s="8" t="s">
        <v>210</v>
      </c>
      <c r="F75" s="7" t="s">
        <v>46</v>
      </c>
      <c r="G75" s="10">
        <v>2</v>
      </c>
      <c r="H75" s="7" t="s">
        <v>205</v>
      </c>
      <c r="I75" s="11">
        <v>2880</v>
      </c>
      <c r="J75" s="11">
        <v>1440</v>
      </c>
      <c r="K75" s="11">
        <v>1440</v>
      </c>
      <c r="L75" s="17">
        <v>31320</v>
      </c>
    </row>
    <row r="76" customFormat="1" ht="14.15" hidden="1" spans="1:12">
      <c r="A76" s="2" t="s">
        <v>10</v>
      </c>
      <c r="B76" s="3" t="s">
        <v>207</v>
      </c>
      <c r="C76" s="3" t="s">
        <v>208</v>
      </c>
      <c r="D76" s="3" t="s">
        <v>209</v>
      </c>
      <c r="E76" s="3" t="s">
        <v>211</v>
      </c>
      <c r="F76" s="2" t="s">
        <v>46</v>
      </c>
      <c r="G76" s="5">
        <v>1000</v>
      </c>
      <c r="H76" s="2" t="s">
        <v>52</v>
      </c>
      <c r="I76" s="6">
        <v>600</v>
      </c>
      <c r="J76" s="6">
        <v>300</v>
      </c>
      <c r="K76" s="6">
        <v>300</v>
      </c>
      <c r="L76" s="17"/>
    </row>
    <row r="77" customFormat="1" ht="14.15" hidden="1" spans="1:12">
      <c r="A77" s="7" t="s">
        <v>10</v>
      </c>
      <c r="B77" s="8" t="s">
        <v>212</v>
      </c>
      <c r="C77" s="8" t="s">
        <v>213</v>
      </c>
      <c r="D77" s="8" t="s">
        <v>209</v>
      </c>
      <c r="E77" s="8" t="s">
        <v>214</v>
      </c>
      <c r="F77" s="7" t="s">
        <v>46</v>
      </c>
      <c r="G77" s="10">
        <v>2</v>
      </c>
      <c r="H77" s="7" t="s">
        <v>205</v>
      </c>
      <c r="I77" s="11">
        <v>5760</v>
      </c>
      <c r="J77" s="11">
        <v>2880</v>
      </c>
      <c r="K77" s="11">
        <v>2880</v>
      </c>
      <c r="L77" s="17">
        <v>62640</v>
      </c>
    </row>
    <row r="78" customFormat="1" ht="14.15" hidden="1" spans="1:12">
      <c r="A78" s="2" t="s">
        <v>10</v>
      </c>
      <c r="B78" s="3" t="s">
        <v>212</v>
      </c>
      <c r="C78" s="3" t="s">
        <v>213</v>
      </c>
      <c r="D78" s="3" t="s">
        <v>209</v>
      </c>
      <c r="E78" s="3" t="s">
        <v>211</v>
      </c>
      <c r="F78" s="2" t="s">
        <v>46</v>
      </c>
      <c r="G78" s="5">
        <v>2000</v>
      </c>
      <c r="H78" s="2" t="s">
        <v>52</v>
      </c>
      <c r="I78" s="6">
        <v>1200</v>
      </c>
      <c r="J78" s="6">
        <v>600</v>
      </c>
      <c r="K78" s="6">
        <v>600</v>
      </c>
      <c r="L78" s="17"/>
    </row>
    <row r="79" customFormat="1" ht="14.15" hidden="1" spans="1:12">
      <c r="A79" s="7" t="s">
        <v>12</v>
      </c>
      <c r="B79" s="8" t="s">
        <v>215</v>
      </c>
      <c r="C79" s="8" t="s">
        <v>216</v>
      </c>
      <c r="D79" s="8" t="s">
        <v>217</v>
      </c>
      <c r="E79" s="23" t="s">
        <v>218</v>
      </c>
      <c r="F79" s="7" t="s">
        <v>46</v>
      </c>
      <c r="G79" s="10">
        <v>1</v>
      </c>
      <c r="H79" s="7" t="s">
        <v>205</v>
      </c>
      <c r="I79" s="11">
        <v>1600</v>
      </c>
      <c r="J79" s="11">
        <v>800</v>
      </c>
      <c r="K79" s="11">
        <v>800</v>
      </c>
      <c r="L79" s="17">
        <v>23904</v>
      </c>
    </row>
    <row r="80" customFormat="1" ht="14.15" hidden="1" spans="1:12">
      <c r="A80" s="2" t="s">
        <v>12</v>
      </c>
      <c r="B80" s="3" t="s">
        <v>215</v>
      </c>
      <c r="C80" s="3" t="s">
        <v>216</v>
      </c>
      <c r="D80" s="3" t="s">
        <v>217</v>
      </c>
      <c r="E80" s="3" t="s">
        <v>219</v>
      </c>
      <c r="F80" s="2" t="s">
        <v>46</v>
      </c>
      <c r="G80" s="5">
        <v>800</v>
      </c>
      <c r="H80" s="2" t="s">
        <v>52</v>
      </c>
      <c r="I80" s="6">
        <v>800</v>
      </c>
      <c r="J80" s="6">
        <v>400</v>
      </c>
      <c r="K80" s="6">
        <v>400</v>
      </c>
      <c r="L80" s="17"/>
    </row>
    <row r="81" customFormat="1" ht="14.15" hidden="1" spans="1:12">
      <c r="A81" s="7" t="s">
        <v>16</v>
      </c>
      <c r="B81" s="8" t="s">
        <v>220</v>
      </c>
      <c r="C81" s="8" t="s">
        <v>221</v>
      </c>
      <c r="D81" s="8" t="s">
        <v>222</v>
      </c>
      <c r="E81" s="8" t="s">
        <v>223</v>
      </c>
      <c r="F81" s="7" t="s">
        <v>46</v>
      </c>
      <c r="G81" s="10">
        <v>1</v>
      </c>
      <c r="H81" s="7" t="s">
        <v>224</v>
      </c>
      <c r="I81" s="11">
        <v>720</v>
      </c>
      <c r="J81" s="11">
        <v>360</v>
      </c>
      <c r="K81" s="11">
        <v>360</v>
      </c>
      <c r="L81" s="17">
        <v>7171.2</v>
      </c>
    </row>
    <row r="82" customFormat="1" ht="14.15" hidden="1" spans="1:12">
      <c r="A82" s="7" t="s">
        <v>18</v>
      </c>
      <c r="B82" s="8" t="s">
        <v>225</v>
      </c>
      <c r="C82" s="8" t="s">
        <v>226</v>
      </c>
      <c r="D82" s="8" t="s">
        <v>227</v>
      </c>
      <c r="E82" s="8" t="s">
        <v>228</v>
      </c>
      <c r="F82" s="7" t="s">
        <v>46</v>
      </c>
      <c r="G82" s="10">
        <v>1</v>
      </c>
      <c r="H82" s="7" t="s">
        <v>205</v>
      </c>
      <c r="I82" s="11">
        <v>306</v>
      </c>
      <c r="J82" s="11">
        <v>153</v>
      </c>
      <c r="K82" s="11">
        <v>153</v>
      </c>
      <c r="L82" s="17">
        <v>3121.2</v>
      </c>
    </row>
    <row r="83" customFormat="1" ht="14.15" hidden="1" spans="1:12">
      <c r="A83" s="2" t="s">
        <v>15</v>
      </c>
      <c r="B83" s="3" t="s">
        <v>229</v>
      </c>
      <c r="C83" s="3" t="s">
        <v>230</v>
      </c>
      <c r="D83" s="3" t="s">
        <v>231</v>
      </c>
      <c r="E83" s="3" t="s">
        <v>232</v>
      </c>
      <c r="F83" s="2" t="s">
        <v>233</v>
      </c>
      <c r="G83" s="5">
        <v>1</v>
      </c>
      <c r="H83" s="2" t="s">
        <v>205</v>
      </c>
      <c r="I83" s="6">
        <v>1210</v>
      </c>
      <c r="J83" s="6">
        <v>605</v>
      </c>
      <c r="K83" s="6">
        <v>605</v>
      </c>
      <c r="L83" s="17">
        <v>22920</v>
      </c>
    </row>
    <row r="84" customFormat="1" ht="14.15" hidden="1" spans="1:12">
      <c r="A84" s="7" t="s">
        <v>15</v>
      </c>
      <c r="B84" s="8" t="s">
        <v>229</v>
      </c>
      <c r="C84" s="8" t="s">
        <v>230</v>
      </c>
      <c r="D84" s="8" t="s">
        <v>231</v>
      </c>
      <c r="E84" s="8" t="s">
        <v>234</v>
      </c>
      <c r="F84" s="7" t="s">
        <v>233</v>
      </c>
      <c r="G84" s="10">
        <v>1</v>
      </c>
      <c r="H84" s="7" t="s">
        <v>235</v>
      </c>
      <c r="I84" s="11">
        <v>700</v>
      </c>
      <c r="J84" s="11">
        <v>350</v>
      </c>
      <c r="K84" s="11">
        <v>350</v>
      </c>
      <c r="L84" s="17"/>
    </row>
    <row r="85" customFormat="1" ht="28.3" hidden="1" spans="1:12">
      <c r="A85" s="2" t="s">
        <v>236</v>
      </c>
      <c r="B85" s="3" t="s">
        <v>237</v>
      </c>
      <c r="C85" s="3" t="s">
        <v>238</v>
      </c>
      <c r="D85" s="3" t="s">
        <v>239</v>
      </c>
      <c r="E85" s="3" t="s">
        <v>240</v>
      </c>
      <c r="F85" s="2" t="s">
        <v>46</v>
      </c>
      <c r="G85" s="5">
        <v>2</v>
      </c>
      <c r="H85" s="2" t="s">
        <v>52</v>
      </c>
      <c r="I85" s="6">
        <v>90</v>
      </c>
      <c r="J85" s="6">
        <v>45</v>
      </c>
      <c r="K85" s="6">
        <v>45</v>
      </c>
      <c r="L85" s="17">
        <v>734.4</v>
      </c>
    </row>
    <row r="86" customFormat="1" ht="28.3" hidden="1" spans="1:12">
      <c r="A86" s="7" t="s">
        <v>236</v>
      </c>
      <c r="B86" s="8" t="s">
        <v>241</v>
      </c>
      <c r="C86" s="8" t="s">
        <v>242</v>
      </c>
      <c r="D86" s="8" t="s">
        <v>239</v>
      </c>
      <c r="E86" s="8" t="s">
        <v>240</v>
      </c>
      <c r="F86" s="7" t="s">
        <v>46</v>
      </c>
      <c r="G86" s="10">
        <v>4</v>
      </c>
      <c r="H86" s="7" t="s">
        <v>52</v>
      </c>
      <c r="I86" s="11">
        <v>253.31</v>
      </c>
      <c r="J86" s="11">
        <v>126.65</v>
      </c>
      <c r="K86" s="11">
        <v>126.66</v>
      </c>
      <c r="L86" s="17">
        <v>1468.8</v>
      </c>
    </row>
    <row r="87" customFormat="1" ht="14.15" hidden="1" spans="1:12">
      <c r="A87" s="2" t="s">
        <v>243</v>
      </c>
      <c r="B87" s="3" t="s">
        <v>244</v>
      </c>
      <c r="C87" s="3" t="s">
        <v>245</v>
      </c>
      <c r="D87" s="3" t="s">
        <v>217</v>
      </c>
      <c r="E87" s="3" t="s">
        <v>246</v>
      </c>
      <c r="F87" s="2" t="s">
        <v>46</v>
      </c>
      <c r="G87" s="5">
        <v>1</v>
      </c>
      <c r="H87" s="2" t="s">
        <v>205</v>
      </c>
      <c r="I87" s="6">
        <v>1056.5</v>
      </c>
      <c r="J87" s="6">
        <v>528.25</v>
      </c>
      <c r="K87" s="6">
        <v>528.25</v>
      </c>
      <c r="L87" s="17">
        <v>19486.74</v>
      </c>
    </row>
    <row r="88" customFormat="1" ht="14.15" hidden="1" spans="1:12">
      <c r="A88" s="7" t="s">
        <v>243</v>
      </c>
      <c r="B88" s="8" t="s">
        <v>244</v>
      </c>
      <c r="C88" s="8" t="s">
        <v>245</v>
      </c>
      <c r="D88" s="8" t="s">
        <v>217</v>
      </c>
      <c r="E88" s="8" t="s">
        <v>247</v>
      </c>
      <c r="F88" s="7" t="s">
        <v>46</v>
      </c>
      <c r="G88" s="10">
        <v>900</v>
      </c>
      <c r="H88" s="7" t="s">
        <v>52</v>
      </c>
      <c r="I88" s="11">
        <v>900</v>
      </c>
      <c r="J88" s="11">
        <v>450</v>
      </c>
      <c r="K88" s="11">
        <v>450</v>
      </c>
      <c r="L88" s="17"/>
    </row>
    <row r="89" customFormat="1" ht="28.3" hidden="1" spans="1:12">
      <c r="A89" s="2" t="s">
        <v>236</v>
      </c>
      <c r="B89" s="3" t="s">
        <v>248</v>
      </c>
      <c r="C89" s="3" t="s">
        <v>249</v>
      </c>
      <c r="D89" s="3" t="s">
        <v>239</v>
      </c>
      <c r="E89" s="3" t="s">
        <v>240</v>
      </c>
      <c r="F89" s="2" t="s">
        <v>46</v>
      </c>
      <c r="G89" s="5">
        <v>2</v>
      </c>
      <c r="H89" s="2" t="s">
        <v>52</v>
      </c>
      <c r="I89" s="6">
        <v>90</v>
      </c>
      <c r="J89" s="6">
        <v>45</v>
      </c>
      <c r="K89" s="6">
        <v>45</v>
      </c>
      <c r="L89" s="17">
        <v>734.4</v>
      </c>
    </row>
    <row r="90" customFormat="1" ht="14.15" hidden="1" spans="1:12">
      <c r="A90" s="7" t="s">
        <v>20</v>
      </c>
      <c r="B90" s="8" t="s">
        <v>250</v>
      </c>
      <c r="C90" s="8" t="s">
        <v>251</v>
      </c>
      <c r="D90" s="8" t="s">
        <v>252</v>
      </c>
      <c r="E90" s="8" t="s">
        <v>253</v>
      </c>
      <c r="F90" s="7" t="s">
        <v>46</v>
      </c>
      <c r="G90" s="10">
        <v>1</v>
      </c>
      <c r="H90" s="7" t="s">
        <v>205</v>
      </c>
      <c r="I90" s="11">
        <v>50</v>
      </c>
      <c r="J90" s="11">
        <v>25</v>
      </c>
      <c r="K90" s="11">
        <v>25</v>
      </c>
      <c r="L90" s="17">
        <v>498</v>
      </c>
    </row>
    <row r="91" customFormat="1" ht="14.15" hidden="1" spans="1:12">
      <c r="A91" s="2" t="s">
        <v>11</v>
      </c>
      <c r="B91" s="3" t="s">
        <v>254</v>
      </c>
      <c r="C91" s="3" t="s">
        <v>255</v>
      </c>
      <c r="D91" s="3" t="s">
        <v>256</v>
      </c>
      <c r="E91" s="3" t="s">
        <v>256</v>
      </c>
      <c r="F91" s="2" t="s">
        <v>46</v>
      </c>
      <c r="G91" s="5">
        <v>1</v>
      </c>
      <c r="H91" s="2" t="s">
        <v>205</v>
      </c>
      <c r="I91" s="6">
        <v>900</v>
      </c>
      <c r="J91" s="6">
        <v>450</v>
      </c>
      <c r="K91" s="6">
        <v>450</v>
      </c>
      <c r="L91" s="17">
        <v>24480</v>
      </c>
    </row>
    <row r="92" customFormat="1" ht="14.15" hidden="1" spans="1:12">
      <c r="A92" s="7" t="s">
        <v>11</v>
      </c>
      <c r="B92" s="8" t="s">
        <v>254</v>
      </c>
      <c r="C92" s="8" t="s">
        <v>255</v>
      </c>
      <c r="D92" s="8" t="s">
        <v>256</v>
      </c>
      <c r="E92" s="8" t="s">
        <v>257</v>
      </c>
      <c r="F92" s="7" t="s">
        <v>46</v>
      </c>
      <c r="G92" s="10">
        <v>1</v>
      </c>
      <c r="H92" s="7" t="s">
        <v>205</v>
      </c>
      <c r="I92" s="11">
        <v>1500</v>
      </c>
      <c r="J92" s="11">
        <v>750</v>
      </c>
      <c r="K92" s="11">
        <v>750</v>
      </c>
      <c r="L92" s="17"/>
    </row>
    <row r="93" customFormat="1" ht="14.15" hidden="1" spans="1:12">
      <c r="A93" s="7" t="s">
        <v>19</v>
      </c>
      <c r="B93" s="8" t="s">
        <v>258</v>
      </c>
      <c r="C93" s="8" t="s">
        <v>259</v>
      </c>
      <c r="D93" s="8" t="s">
        <v>260</v>
      </c>
      <c r="E93" s="8" t="s">
        <v>261</v>
      </c>
      <c r="F93" s="7" t="s">
        <v>46</v>
      </c>
      <c r="G93" s="10">
        <v>1</v>
      </c>
      <c r="H93" s="7" t="s">
        <v>205</v>
      </c>
      <c r="I93" s="11">
        <v>0</v>
      </c>
      <c r="J93" s="11">
        <v>0</v>
      </c>
      <c r="K93" s="11">
        <v>0</v>
      </c>
      <c r="L93" s="17">
        <v>550.8</v>
      </c>
    </row>
    <row r="94" customFormat="1" ht="14.15" hidden="1" spans="1:12">
      <c r="A94" s="2" t="s">
        <v>19</v>
      </c>
      <c r="B94" s="3" t="s">
        <v>258</v>
      </c>
      <c r="C94" s="3" t="s">
        <v>259</v>
      </c>
      <c r="D94" s="3" t="s">
        <v>260</v>
      </c>
      <c r="E94" s="3" t="s">
        <v>228</v>
      </c>
      <c r="F94" s="2" t="s">
        <v>46</v>
      </c>
      <c r="G94" s="5">
        <v>1</v>
      </c>
      <c r="H94" s="2" t="s">
        <v>205</v>
      </c>
      <c r="I94" s="6">
        <v>54</v>
      </c>
      <c r="J94" s="6">
        <v>27</v>
      </c>
      <c r="K94" s="6">
        <v>27</v>
      </c>
      <c r="L94" s="17"/>
    </row>
    <row r="95" customFormat="1" ht="14.15" hidden="1" spans="1:12">
      <c r="A95" s="7" t="s">
        <v>19</v>
      </c>
      <c r="B95" s="8" t="s">
        <v>262</v>
      </c>
      <c r="C95" s="8" t="s">
        <v>263</v>
      </c>
      <c r="D95" s="8" t="s">
        <v>264</v>
      </c>
      <c r="E95" s="8" t="s">
        <v>261</v>
      </c>
      <c r="F95" s="7" t="s">
        <v>46</v>
      </c>
      <c r="G95" s="10">
        <v>1</v>
      </c>
      <c r="H95" s="7" t="s">
        <v>205</v>
      </c>
      <c r="I95" s="11">
        <v>0</v>
      </c>
      <c r="J95" s="11">
        <v>0</v>
      </c>
      <c r="K95" s="11">
        <v>0</v>
      </c>
      <c r="L95" s="17">
        <v>1927.8</v>
      </c>
    </row>
    <row r="96" customFormat="1" ht="14.15" hidden="1" spans="1:12">
      <c r="A96" s="2" t="s">
        <v>19</v>
      </c>
      <c r="B96" s="3" t="s">
        <v>262</v>
      </c>
      <c r="C96" s="3" t="s">
        <v>263</v>
      </c>
      <c r="D96" s="3" t="s">
        <v>264</v>
      </c>
      <c r="E96" s="3" t="s">
        <v>228</v>
      </c>
      <c r="F96" s="2" t="s">
        <v>46</v>
      </c>
      <c r="G96" s="5">
        <v>1</v>
      </c>
      <c r="H96" s="2" t="s">
        <v>205</v>
      </c>
      <c r="I96" s="6">
        <v>189</v>
      </c>
      <c r="J96" s="6">
        <v>94.5</v>
      </c>
      <c r="K96" s="6">
        <v>94.5</v>
      </c>
      <c r="L96" s="17"/>
    </row>
    <row r="97" customFormat="1" ht="15.4" hidden="1" spans="1:12">
      <c r="A97" s="13" t="s">
        <v>265</v>
      </c>
      <c r="B97" s="14"/>
      <c r="C97" s="14"/>
      <c r="D97" s="14"/>
      <c r="E97" s="14"/>
      <c r="F97" s="14"/>
      <c r="G97" s="14"/>
      <c r="H97" s="15"/>
      <c r="I97" s="16">
        <f>SUM(I2:I96)</f>
        <v>59545.76</v>
      </c>
      <c r="J97" s="16">
        <f>SUM(J2:J96)</f>
        <v>32828.38</v>
      </c>
      <c r="K97" s="16">
        <f>SUM(K2:K96)</f>
        <v>26717.38</v>
      </c>
      <c r="L97" s="17"/>
    </row>
  </sheetData>
  <autoFilter xmlns:etc="http://www.wps.cn/officeDocument/2017/etCustomData" ref="A1:K97" etc:filterBottomFollowUsedRange="0">
    <filterColumn colId="2">
      <filters>
        <filter val="ECS-starRocks-01"/>
        <filter val="ECS-starRocks-01-volume-1-1"/>
        <filter val="ECS-starRocks-01-volume-2-1"/>
        <filter val="ECS-starRocks-01-volume-1-2"/>
        <filter val="ECS-starRocks-01-volume-2-2"/>
        <filter val="ECS-starRocks-01-volume-1-3"/>
        <filter val="ECS-starRocks-01-volume-2-3"/>
      </filters>
    </filterColumn>
    <extLst/>
  </autoFilter>
  <mergeCells count="33">
    <mergeCell ref="A97:H97"/>
    <mergeCell ref="L2:L4"/>
    <mergeCell ref="L5:L7"/>
    <mergeCell ref="L8:L10"/>
    <mergeCell ref="L11:L13"/>
    <mergeCell ref="L14:L16"/>
    <mergeCell ref="L17:L19"/>
    <mergeCell ref="L20:L22"/>
    <mergeCell ref="L23:L27"/>
    <mergeCell ref="L28:L30"/>
    <mergeCell ref="L31:L33"/>
    <mergeCell ref="L34:L36"/>
    <mergeCell ref="L37:L39"/>
    <mergeCell ref="L40:L42"/>
    <mergeCell ref="L43:L45"/>
    <mergeCell ref="L46:L48"/>
    <mergeCell ref="L49:L51"/>
    <mergeCell ref="L52:L54"/>
    <mergeCell ref="L55:L57"/>
    <mergeCell ref="L58:L60"/>
    <mergeCell ref="L61:L63"/>
    <mergeCell ref="L64:L66"/>
    <mergeCell ref="L67:L69"/>
    <mergeCell ref="L70:L72"/>
    <mergeCell ref="L73:L74"/>
    <mergeCell ref="L75:L76"/>
    <mergeCell ref="L77:L78"/>
    <mergeCell ref="L79:L80"/>
    <mergeCell ref="L83:L84"/>
    <mergeCell ref="L87:L88"/>
    <mergeCell ref="L91:L92"/>
    <mergeCell ref="L93:L94"/>
    <mergeCell ref="L95:L9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85" zoomScaleNormal="85" workbookViewId="0">
      <pane ySplit="1" topLeftCell="A2" activePane="bottomLeft" state="frozen"/>
      <selection/>
      <selection pane="bottomLeft" activeCell="E14" sqref="E14"/>
    </sheetView>
  </sheetViews>
  <sheetFormatPr defaultColWidth="9" defaultRowHeight="14.1"/>
  <cols>
    <col min="1" max="1" width="20" customWidth="1"/>
    <col min="2" max="2" width="38" customWidth="1"/>
    <col min="3" max="3" width="32" customWidth="1"/>
    <col min="4" max="4" width="30" customWidth="1"/>
    <col min="5" max="5" width="28" customWidth="1"/>
    <col min="6" max="6" width="16" customWidth="1"/>
    <col min="7" max="7" width="18" customWidth="1"/>
    <col min="8" max="8" width="12" customWidth="1"/>
    <col min="9" max="9" width="18" customWidth="1"/>
    <col min="10" max="10" width="12" customWidth="1"/>
    <col min="11" max="13" width="16" customWidth="1"/>
  </cols>
  <sheetData>
    <row r="1" ht="40" customHeight="1" spans="1:13">
      <c r="A1" s="1" t="s">
        <v>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266</v>
      </c>
      <c r="H1" s="1" t="s">
        <v>267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ht="30" customHeight="1" spans="1:13">
      <c r="A2" s="2" t="s">
        <v>27</v>
      </c>
      <c r="B2" s="3" t="s">
        <v>268</v>
      </c>
      <c r="C2" s="3" t="s">
        <v>255</v>
      </c>
      <c r="D2" s="3" t="s">
        <v>269</v>
      </c>
      <c r="E2" s="3" t="s">
        <v>270</v>
      </c>
      <c r="F2" s="2" t="s">
        <v>46</v>
      </c>
      <c r="G2" s="4" t="s">
        <v>271</v>
      </c>
      <c r="H2" s="2" t="s">
        <v>52</v>
      </c>
      <c r="I2" s="5">
        <v>480.669</v>
      </c>
      <c r="J2" s="2" t="s">
        <v>52</v>
      </c>
      <c r="K2" s="6">
        <v>2.403345</v>
      </c>
      <c r="L2" s="6">
        <v>0</v>
      </c>
      <c r="M2" s="6">
        <v>2.45</v>
      </c>
    </row>
    <row r="3" ht="30" customHeight="1" spans="1:13">
      <c r="A3" s="7" t="s">
        <v>27</v>
      </c>
      <c r="B3" s="8" t="s">
        <v>268</v>
      </c>
      <c r="C3" s="8" t="s">
        <v>255</v>
      </c>
      <c r="D3" s="8" t="s">
        <v>269</v>
      </c>
      <c r="E3" s="8" t="s">
        <v>272</v>
      </c>
      <c r="F3" s="7" t="s">
        <v>46</v>
      </c>
      <c r="G3" s="9" t="s">
        <v>271</v>
      </c>
      <c r="H3" s="7" t="s">
        <v>52</v>
      </c>
      <c r="I3" s="10">
        <v>2018.195</v>
      </c>
      <c r="J3" s="7" t="s">
        <v>52</v>
      </c>
      <c r="K3" s="11">
        <v>10.090974</v>
      </c>
      <c r="L3" s="11">
        <v>0</v>
      </c>
      <c r="M3" s="11">
        <v>10.07</v>
      </c>
    </row>
    <row r="4" ht="30" customHeight="1" spans="1:13">
      <c r="A4" s="2" t="s">
        <v>26</v>
      </c>
      <c r="B4" s="3" t="s">
        <v>273</v>
      </c>
      <c r="C4" s="3" t="s">
        <v>255</v>
      </c>
      <c r="D4" s="3" t="s">
        <v>26</v>
      </c>
      <c r="E4" s="3" t="s">
        <v>274</v>
      </c>
      <c r="F4" s="2" t="s">
        <v>275</v>
      </c>
      <c r="G4" s="4" t="s">
        <v>276</v>
      </c>
      <c r="H4" s="2" t="s">
        <v>52</v>
      </c>
      <c r="I4" s="5">
        <v>10916.1167</v>
      </c>
      <c r="J4" s="2" t="s">
        <v>52</v>
      </c>
      <c r="K4" s="6">
        <v>1.21272</v>
      </c>
      <c r="L4" s="6">
        <v>0.60636</v>
      </c>
      <c r="M4" s="6">
        <v>0</v>
      </c>
    </row>
    <row r="5" ht="30" customHeight="1" spans="1:13">
      <c r="A5" s="7" t="s">
        <v>26</v>
      </c>
      <c r="B5" s="8" t="s">
        <v>273</v>
      </c>
      <c r="C5" s="8" t="s">
        <v>255</v>
      </c>
      <c r="D5" s="8" t="s">
        <v>26</v>
      </c>
      <c r="E5" s="8" t="s">
        <v>277</v>
      </c>
      <c r="F5" s="7" t="s">
        <v>275</v>
      </c>
      <c r="G5" s="9" t="s">
        <v>278</v>
      </c>
      <c r="H5" s="7" t="s">
        <v>279</v>
      </c>
      <c r="I5" s="10">
        <v>0.0386</v>
      </c>
      <c r="J5" s="7" t="s">
        <v>279</v>
      </c>
      <c r="K5" s="11">
        <v>0.00386</v>
      </c>
      <c r="L5" s="11">
        <v>0.00193</v>
      </c>
      <c r="M5" s="11">
        <v>0</v>
      </c>
    </row>
    <row r="6" ht="30" customHeight="1" spans="1:13">
      <c r="A6" s="2" t="s">
        <v>26</v>
      </c>
      <c r="B6" s="3" t="s">
        <v>273</v>
      </c>
      <c r="C6" s="3" t="s">
        <v>255</v>
      </c>
      <c r="D6" s="3" t="s">
        <v>26</v>
      </c>
      <c r="E6" s="3" t="s">
        <v>280</v>
      </c>
      <c r="F6" s="2" t="s">
        <v>46</v>
      </c>
      <c r="G6" s="4" t="s">
        <v>281</v>
      </c>
      <c r="H6" s="2" t="s">
        <v>282</v>
      </c>
      <c r="I6" s="5">
        <v>0.2692</v>
      </c>
      <c r="J6" s="2" t="s">
        <v>282</v>
      </c>
      <c r="K6" s="6">
        <v>0.1346</v>
      </c>
      <c r="L6" s="6">
        <v>0.0673</v>
      </c>
      <c r="M6" s="6">
        <v>0.06</v>
      </c>
    </row>
    <row r="7" ht="30" customHeight="1" spans="1:13">
      <c r="A7" s="7" t="s">
        <v>27</v>
      </c>
      <c r="B7" s="8" t="s">
        <v>268</v>
      </c>
      <c r="C7" s="8" t="s">
        <v>255</v>
      </c>
      <c r="D7" s="8" t="s">
        <v>269</v>
      </c>
      <c r="E7" s="8" t="s">
        <v>283</v>
      </c>
      <c r="F7" s="7" t="s">
        <v>46</v>
      </c>
      <c r="G7" s="9" t="s">
        <v>284</v>
      </c>
      <c r="H7" s="7" t="s">
        <v>52</v>
      </c>
      <c r="I7" s="10">
        <v>21.7847</v>
      </c>
      <c r="J7" s="7" t="s">
        <v>52</v>
      </c>
      <c r="K7" s="11">
        <v>3.921246</v>
      </c>
      <c r="L7" s="11">
        <v>1.960623</v>
      </c>
      <c r="M7" s="11">
        <v>1.82</v>
      </c>
    </row>
    <row r="8" ht="30" customHeight="1" spans="1:13">
      <c r="A8" s="2" t="s">
        <v>27</v>
      </c>
      <c r="B8" s="3" t="s">
        <v>268</v>
      </c>
      <c r="C8" s="3" t="s">
        <v>255</v>
      </c>
      <c r="D8" s="3" t="s">
        <v>269</v>
      </c>
      <c r="E8" s="3" t="s">
        <v>285</v>
      </c>
      <c r="F8" s="2" t="s">
        <v>46</v>
      </c>
      <c r="G8" s="4" t="s">
        <v>286</v>
      </c>
      <c r="H8" s="2" t="s">
        <v>287</v>
      </c>
      <c r="I8" s="5">
        <v>8.725115</v>
      </c>
      <c r="J8" s="2" t="s">
        <v>287</v>
      </c>
      <c r="K8" s="6">
        <v>1.04701</v>
      </c>
      <c r="L8" s="6">
        <v>0.523507</v>
      </c>
      <c r="M8" s="6">
        <v>0.51</v>
      </c>
    </row>
    <row r="9" ht="30" customHeight="1" spans="1:13">
      <c r="A9" s="7" t="s">
        <v>27</v>
      </c>
      <c r="B9" s="8" t="s">
        <v>268</v>
      </c>
      <c r="C9" s="8" t="s">
        <v>255</v>
      </c>
      <c r="D9" s="8" t="s">
        <v>269</v>
      </c>
      <c r="E9" s="8" t="s">
        <v>288</v>
      </c>
      <c r="F9" s="7" t="s">
        <v>46</v>
      </c>
      <c r="G9" s="9" t="s">
        <v>289</v>
      </c>
      <c r="H9" s="7" t="s">
        <v>52</v>
      </c>
      <c r="I9" s="10">
        <v>997.1286</v>
      </c>
      <c r="J9" s="7" t="s">
        <v>52</v>
      </c>
      <c r="K9" s="11">
        <v>11.466975</v>
      </c>
      <c r="L9" s="11">
        <v>5.733488</v>
      </c>
      <c r="M9" s="11">
        <v>5.77</v>
      </c>
    </row>
    <row r="10" ht="30" customHeight="1" spans="1:13">
      <c r="A10" s="2" t="s">
        <v>27</v>
      </c>
      <c r="B10" s="3" t="s">
        <v>268</v>
      </c>
      <c r="C10" s="3" t="s">
        <v>255</v>
      </c>
      <c r="D10" s="3" t="s">
        <v>269</v>
      </c>
      <c r="E10" s="3" t="s">
        <v>290</v>
      </c>
      <c r="F10" s="2" t="s">
        <v>46</v>
      </c>
      <c r="G10" s="4" t="s">
        <v>289</v>
      </c>
      <c r="H10" s="2" t="s">
        <v>52</v>
      </c>
      <c r="I10" s="5">
        <v>3319.1498</v>
      </c>
      <c r="J10" s="2" t="s">
        <v>52</v>
      </c>
      <c r="K10" s="6">
        <v>38.170218</v>
      </c>
      <c r="L10" s="6">
        <v>19.085106</v>
      </c>
      <c r="M10" s="6">
        <v>19.03</v>
      </c>
    </row>
    <row r="11" ht="30" customHeight="1" spans="1:13">
      <c r="A11" s="7" t="s">
        <v>26</v>
      </c>
      <c r="B11" s="8" t="s">
        <v>273</v>
      </c>
      <c r="C11" s="8" t="s">
        <v>255</v>
      </c>
      <c r="D11" s="8" t="s">
        <v>26</v>
      </c>
      <c r="E11" s="8" t="s">
        <v>291</v>
      </c>
      <c r="F11" s="7" t="s">
        <v>46</v>
      </c>
      <c r="G11" s="9" t="s">
        <v>292</v>
      </c>
      <c r="H11" s="7" t="s">
        <v>52</v>
      </c>
      <c r="I11" s="10">
        <v>685508.8747</v>
      </c>
      <c r="J11" s="7" t="s">
        <v>52</v>
      </c>
      <c r="K11" s="11">
        <v>94.257465999</v>
      </c>
      <c r="L11" s="11">
        <v>47.128739999</v>
      </c>
      <c r="M11" s="11">
        <v>44.64</v>
      </c>
    </row>
    <row r="12" ht="30" customHeight="1" spans="1:13">
      <c r="A12" s="2" t="s">
        <v>26</v>
      </c>
      <c r="B12" s="3" t="s">
        <v>273</v>
      </c>
      <c r="C12" s="3" t="s">
        <v>255</v>
      </c>
      <c r="D12" s="3" t="s">
        <v>26</v>
      </c>
      <c r="E12" s="3" t="s">
        <v>293</v>
      </c>
      <c r="F12" s="2" t="s">
        <v>46</v>
      </c>
      <c r="G12" s="4" t="s">
        <v>294</v>
      </c>
      <c r="H12" s="2" t="s">
        <v>279</v>
      </c>
      <c r="I12" s="5">
        <v>5261.4659</v>
      </c>
      <c r="J12" s="2" t="s">
        <v>279</v>
      </c>
      <c r="K12" s="6">
        <v>52.614658995</v>
      </c>
      <c r="L12" s="6">
        <v>26.307319995</v>
      </c>
      <c r="M12" s="6">
        <v>25.61</v>
      </c>
    </row>
    <row r="13" ht="30" customHeight="1" spans="1:13">
      <c r="A13" s="7" t="s">
        <v>295</v>
      </c>
      <c r="B13" s="8" t="s">
        <v>296</v>
      </c>
      <c r="C13" s="8" t="s">
        <v>255</v>
      </c>
      <c r="D13" s="8" t="s">
        <v>297</v>
      </c>
      <c r="E13" s="8" t="s">
        <v>298</v>
      </c>
      <c r="F13" s="7" t="s">
        <v>46</v>
      </c>
      <c r="G13" s="9" t="s">
        <v>299</v>
      </c>
      <c r="H13" s="7" t="s">
        <v>300</v>
      </c>
      <c r="I13" s="10">
        <v>15951.7988</v>
      </c>
      <c r="J13" s="7" t="s">
        <v>300</v>
      </c>
      <c r="K13" s="11">
        <v>0</v>
      </c>
      <c r="L13" s="11">
        <v>0</v>
      </c>
      <c r="M13" s="11">
        <v>0</v>
      </c>
    </row>
    <row r="14" ht="30" customHeight="1" spans="1:13">
      <c r="A14" s="2" t="s">
        <v>295</v>
      </c>
      <c r="B14" s="3" t="s">
        <v>296</v>
      </c>
      <c r="C14" s="3" t="s">
        <v>255</v>
      </c>
      <c r="D14" s="3" t="s">
        <v>297</v>
      </c>
      <c r="E14" s="3" t="s">
        <v>301</v>
      </c>
      <c r="F14" s="2" t="s">
        <v>46</v>
      </c>
      <c r="G14" s="12" t="s">
        <v>302</v>
      </c>
      <c r="H14" s="2" t="s">
        <v>300</v>
      </c>
      <c r="I14" s="5">
        <v>1773.57955</v>
      </c>
      <c r="J14" s="2" t="s">
        <v>300</v>
      </c>
      <c r="K14" s="6">
        <v>1064.147732</v>
      </c>
      <c r="L14" s="6">
        <v>532.073869</v>
      </c>
      <c r="M14" s="6">
        <v>528.23</v>
      </c>
    </row>
    <row r="15" ht="30" customHeight="1" spans="1:13">
      <c r="A15" s="7" t="s">
        <v>27</v>
      </c>
      <c r="B15" s="8" t="s">
        <v>268</v>
      </c>
      <c r="C15" s="8" t="s">
        <v>255</v>
      </c>
      <c r="D15" s="8" t="s">
        <v>269</v>
      </c>
      <c r="E15" s="8" t="s">
        <v>303</v>
      </c>
      <c r="F15" s="7" t="s">
        <v>46</v>
      </c>
      <c r="G15" s="9" t="s">
        <v>304</v>
      </c>
      <c r="H15" s="7" t="s">
        <v>52</v>
      </c>
      <c r="I15" s="10">
        <v>85.9681</v>
      </c>
      <c r="J15" s="7" t="s">
        <v>52</v>
      </c>
      <c r="K15" s="11">
        <v>30.088835</v>
      </c>
      <c r="L15" s="11">
        <v>15.044439</v>
      </c>
      <c r="M15" s="11">
        <v>15.03</v>
      </c>
    </row>
    <row r="16" ht="30" customHeight="1" spans="1:13">
      <c r="A16" s="2" t="s">
        <v>28</v>
      </c>
      <c r="B16" s="3" t="s">
        <v>305</v>
      </c>
      <c r="C16" s="3" t="s">
        <v>306</v>
      </c>
      <c r="D16" s="3" t="s">
        <v>307</v>
      </c>
      <c r="E16" s="3" t="s">
        <v>308</v>
      </c>
      <c r="F16" s="2" t="s">
        <v>46</v>
      </c>
      <c r="G16" s="4" t="s">
        <v>309</v>
      </c>
      <c r="H16" s="2" t="s">
        <v>282</v>
      </c>
      <c r="I16" s="5">
        <v>38.067092761</v>
      </c>
      <c r="J16" s="2" t="s">
        <v>282</v>
      </c>
      <c r="K16" s="6">
        <v>30.453668005</v>
      </c>
      <c r="L16" s="6">
        <v>15.226821</v>
      </c>
      <c r="M16" s="6">
        <v>11.69</v>
      </c>
    </row>
    <row r="17" ht="30" customHeight="1" spans="1:13">
      <c r="A17" s="7" t="s">
        <v>19</v>
      </c>
      <c r="B17" s="8" t="s">
        <v>310</v>
      </c>
      <c r="C17" s="8" t="s">
        <v>311</v>
      </c>
      <c r="D17" s="8" t="s">
        <v>312</v>
      </c>
      <c r="E17" s="8" t="s">
        <v>261</v>
      </c>
      <c r="F17" s="7" t="s">
        <v>46</v>
      </c>
      <c r="G17" s="9" t="s">
        <v>299</v>
      </c>
      <c r="H17" s="7" t="s">
        <v>313</v>
      </c>
      <c r="I17" s="10">
        <v>1</v>
      </c>
      <c r="J17" s="7" t="s">
        <v>205</v>
      </c>
      <c r="K17" s="11">
        <v>0</v>
      </c>
      <c r="L17" s="11">
        <v>0</v>
      </c>
      <c r="M17" s="11">
        <v>0</v>
      </c>
    </row>
    <row r="18" ht="30" customHeight="1" spans="1:13">
      <c r="A18" s="2" t="s">
        <v>19</v>
      </c>
      <c r="B18" s="3" t="s">
        <v>310</v>
      </c>
      <c r="C18" s="3" t="s">
        <v>311</v>
      </c>
      <c r="D18" s="3" t="s">
        <v>312</v>
      </c>
      <c r="E18" s="3" t="s">
        <v>228</v>
      </c>
      <c r="F18" s="2" t="s">
        <v>46</v>
      </c>
      <c r="G18" s="4" t="s">
        <v>278</v>
      </c>
      <c r="H18" s="2" t="s">
        <v>313</v>
      </c>
      <c r="I18" s="5">
        <v>1</v>
      </c>
      <c r="J18" s="2" t="s">
        <v>205</v>
      </c>
      <c r="K18" s="6">
        <v>74.4</v>
      </c>
      <c r="L18" s="6">
        <v>37.2</v>
      </c>
      <c r="M18" s="6">
        <v>37.2</v>
      </c>
    </row>
    <row r="19" ht="30" customHeight="1" spans="1:13">
      <c r="A19" s="7" t="s">
        <v>19</v>
      </c>
      <c r="B19" s="8" t="s">
        <v>314</v>
      </c>
      <c r="C19" s="8" t="s">
        <v>315</v>
      </c>
      <c r="D19" s="8" t="s">
        <v>312</v>
      </c>
      <c r="E19" s="8" t="s">
        <v>261</v>
      </c>
      <c r="F19" s="7" t="s">
        <v>46</v>
      </c>
      <c r="G19" s="9" t="s">
        <v>299</v>
      </c>
      <c r="H19" s="7" t="s">
        <v>313</v>
      </c>
      <c r="I19" s="10">
        <v>1</v>
      </c>
      <c r="J19" s="7" t="s">
        <v>205</v>
      </c>
      <c r="K19" s="11">
        <v>0</v>
      </c>
      <c r="L19" s="11">
        <v>0</v>
      </c>
      <c r="M19" s="11">
        <v>0</v>
      </c>
    </row>
    <row r="20" ht="30" customHeight="1" spans="1:13">
      <c r="A20" s="2" t="s">
        <v>19</v>
      </c>
      <c r="B20" s="3" t="s">
        <v>314</v>
      </c>
      <c r="C20" s="3" t="s">
        <v>315</v>
      </c>
      <c r="D20" s="3" t="s">
        <v>312</v>
      </c>
      <c r="E20" s="3" t="s">
        <v>228</v>
      </c>
      <c r="F20" s="2" t="s">
        <v>46</v>
      </c>
      <c r="G20" s="4" t="s">
        <v>278</v>
      </c>
      <c r="H20" s="2" t="s">
        <v>313</v>
      </c>
      <c r="I20" s="5">
        <v>1</v>
      </c>
      <c r="J20" s="2" t="s">
        <v>205</v>
      </c>
      <c r="K20" s="6">
        <v>74.4</v>
      </c>
      <c r="L20" s="6">
        <v>37.2</v>
      </c>
      <c r="M20" s="6">
        <v>37.2</v>
      </c>
    </row>
    <row r="21" ht="30" customHeight="1" spans="1:13">
      <c r="A21" s="7" t="s">
        <v>19</v>
      </c>
      <c r="B21" s="8" t="s">
        <v>316</v>
      </c>
      <c r="C21" s="8" t="s">
        <v>317</v>
      </c>
      <c r="D21" s="8" t="s">
        <v>318</v>
      </c>
      <c r="E21" s="8" t="s">
        <v>261</v>
      </c>
      <c r="F21" s="7" t="s">
        <v>46</v>
      </c>
      <c r="G21" s="9" t="s">
        <v>299</v>
      </c>
      <c r="H21" s="7" t="s">
        <v>313</v>
      </c>
      <c r="I21" s="10">
        <v>1</v>
      </c>
      <c r="J21" s="7" t="s">
        <v>205</v>
      </c>
      <c r="K21" s="11">
        <v>0</v>
      </c>
      <c r="L21" s="11">
        <v>0</v>
      </c>
      <c r="M21" s="11">
        <v>0</v>
      </c>
    </row>
    <row r="22" ht="30" customHeight="1" spans="1:13">
      <c r="A22" s="2" t="s">
        <v>19</v>
      </c>
      <c r="B22" s="3" t="s">
        <v>316</v>
      </c>
      <c r="C22" s="3" t="s">
        <v>317</v>
      </c>
      <c r="D22" s="3" t="s">
        <v>318</v>
      </c>
      <c r="E22" s="3" t="s">
        <v>228</v>
      </c>
      <c r="F22" s="2" t="s">
        <v>46</v>
      </c>
      <c r="G22" s="4" t="s">
        <v>304</v>
      </c>
      <c r="H22" s="2" t="s">
        <v>313</v>
      </c>
      <c r="I22" s="5">
        <v>1</v>
      </c>
      <c r="J22" s="2" t="s">
        <v>205</v>
      </c>
      <c r="K22" s="6">
        <v>260.4</v>
      </c>
      <c r="L22" s="6">
        <v>130.2</v>
      </c>
      <c r="M22" s="6">
        <v>130.01</v>
      </c>
    </row>
    <row r="23" ht="30" customHeight="1" spans="1:13">
      <c r="A23" s="7" t="s">
        <v>19</v>
      </c>
      <c r="B23" s="8" t="s">
        <v>319</v>
      </c>
      <c r="C23" s="8" t="s">
        <v>320</v>
      </c>
      <c r="D23" s="8" t="s">
        <v>318</v>
      </c>
      <c r="E23" s="8" t="s">
        <v>261</v>
      </c>
      <c r="F23" s="7" t="s">
        <v>46</v>
      </c>
      <c r="G23" s="9" t="s">
        <v>299</v>
      </c>
      <c r="H23" s="7" t="s">
        <v>313</v>
      </c>
      <c r="I23" s="10">
        <v>1</v>
      </c>
      <c r="J23" s="7" t="s">
        <v>205</v>
      </c>
      <c r="K23" s="11">
        <v>0</v>
      </c>
      <c r="L23" s="11">
        <v>0</v>
      </c>
      <c r="M23" s="11">
        <v>0</v>
      </c>
    </row>
    <row r="24" ht="30" customHeight="1" spans="1:13">
      <c r="A24" s="2" t="s">
        <v>19</v>
      </c>
      <c r="B24" s="3" t="s">
        <v>319</v>
      </c>
      <c r="C24" s="3" t="s">
        <v>320</v>
      </c>
      <c r="D24" s="3" t="s">
        <v>318</v>
      </c>
      <c r="E24" s="3" t="s">
        <v>228</v>
      </c>
      <c r="F24" s="2" t="s">
        <v>46</v>
      </c>
      <c r="G24" s="4" t="s">
        <v>304</v>
      </c>
      <c r="H24" s="2" t="s">
        <v>313</v>
      </c>
      <c r="I24" s="5">
        <v>1</v>
      </c>
      <c r="J24" s="2" t="s">
        <v>205</v>
      </c>
      <c r="K24" s="6">
        <v>260.4</v>
      </c>
      <c r="L24" s="6">
        <v>130.2</v>
      </c>
      <c r="M24" s="6">
        <v>130.39</v>
      </c>
    </row>
    <row r="25" ht="30" customHeight="1" spans="1:13">
      <c r="A25" s="7" t="s">
        <v>16</v>
      </c>
      <c r="B25" s="8" t="s">
        <v>321</v>
      </c>
      <c r="C25" s="8" t="s">
        <v>221</v>
      </c>
      <c r="D25" s="8" t="s">
        <v>322</v>
      </c>
      <c r="E25" s="8" t="s">
        <v>322</v>
      </c>
      <c r="F25" s="7" t="s">
        <v>46</v>
      </c>
      <c r="G25" s="9" t="s">
        <v>299</v>
      </c>
      <c r="H25" s="7" t="s">
        <v>282</v>
      </c>
      <c r="I25" s="10">
        <v>0</v>
      </c>
      <c r="J25" s="7" t="s">
        <v>282</v>
      </c>
      <c r="K25" s="11">
        <v>0</v>
      </c>
      <c r="L25" s="11">
        <v>0</v>
      </c>
      <c r="M25" s="11">
        <v>0</v>
      </c>
    </row>
    <row r="26" ht="30" customHeight="1" spans="1:13">
      <c r="A26" s="2" t="s">
        <v>323</v>
      </c>
      <c r="B26" s="3" t="s">
        <v>324</v>
      </c>
      <c r="C26" s="3" t="s">
        <v>325</v>
      </c>
      <c r="D26" s="3" t="s">
        <v>326</v>
      </c>
      <c r="E26" s="3" t="s">
        <v>326</v>
      </c>
      <c r="F26" s="2" t="s">
        <v>46</v>
      </c>
      <c r="G26" s="4" t="s">
        <v>327</v>
      </c>
      <c r="H26" s="2" t="s">
        <v>313</v>
      </c>
      <c r="I26" s="5">
        <v>1</v>
      </c>
      <c r="J26" s="2" t="s">
        <v>205</v>
      </c>
      <c r="K26" s="6">
        <v>446.4</v>
      </c>
      <c r="L26" s="6">
        <v>223.2</v>
      </c>
      <c r="M26" s="6">
        <v>223.2</v>
      </c>
    </row>
    <row r="27" ht="30" customHeight="1" spans="1:13">
      <c r="A27" s="7" t="s">
        <v>10</v>
      </c>
      <c r="B27" s="8" t="s">
        <v>328</v>
      </c>
      <c r="C27" s="8" t="s">
        <v>208</v>
      </c>
      <c r="D27" s="8" t="s">
        <v>329</v>
      </c>
      <c r="E27" s="8" t="s">
        <v>330</v>
      </c>
      <c r="F27" s="7" t="s">
        <v>46</v>
      </c>
      <c r="G27" s="9" t="s">
        <v>331</v>
      </c>
      <c r="H27" s="7" t="s">
        <v>332</v>
      </c>
      <c r="I27" s="10">
        <v>1488</v>
      </c>
      <c r="J27" s="7" t="s">
        <v>332</v>
      </c>
      <c r="K27" s="11">
        <v>325.872</v>
      </c>
      <c r="L27" s="11">
        <v>162.936</v>
      </c>
      <c r="M27" s="11">
        <v>163.68</v>
      </c>
    </row>
    <row r="28" ht="30" customHeight="1" spans="1:13">
      <c r="A28" s="2" t="s">
        <v>10</v>
      </c>
      <c r="B28" s="3" t="s">
        <v>333</v>
      </c>
      <c r="C28" s="3" t="s">
        <v>213</v>
      </c>
      <c r="D28" s="3" t="s">
        <v>329</v>
      </c>
      <c r="E28" s="3" t="s">
        <v>330</v>
      </c>
      <c r="F28" s="2" t="s">
        <v>46</v>
      </c>
      <c r="G28" s="4" t="s">
        <v>331</v>
      </c>
      <c r="H28" s="2" t="s">
        <v>332</v>
      </c>
      <c r="I28" s="5">
        <v>4464</v>
      </c>
      <c r="J28" s="2" t="s">
        <v>332</v>
      </c>
      <c r="K28" s="6">
        <v>977.616</v>
      </c>
      <c r="L28" s="6">
        <v>488.808</v>
      </c>
      <c r="M28" s="6">
        <v>483.6</v>
      </c>
    </row>
    <row r="29" ht="30" customHeight="1" spans="1:13">
      <c r="A29" s="7" t="s">
        <v>323</v>
      </c>
      <c r="B29" s="8" t="s">
        <v>334</v>
      </c>
      <c r="C29" s="8" t="s">
        <v>335</v>
      </c>
      <c r="D29" s="8" t="s">
        <v>336</v>
      </c>
      <c r="E29" s="8" t="s">
        <v>326</v>
      </c>
      <c r="F29" s="7" t="s">
        <v>46</v>
      </c>
      <c r="G29" s="9" t="s">
        <v>327</v>
      </c>
      <c r="H29" s="7" t="s">
        <v>313</v>
      </c>
      <c r="I29" s="10">
        <v>1</v>
      </c>
      <c r="J29" s="7" t="s">
        <v>205</v>
      </c>
      <c r="K29" s="11">
        <v>446.4</v>
      </c>
      <c r="L29" s="11">
        <v>223.2</v>
      </c>
      <c r="M29" s="11">
        <v>223.2</v>
      </c>
    </row>
    <row r="30" ht="30" customHeight="1" spans="1:13">
      <c r="A30" s="2" t="s">
        <v>20</v>
      </c>
      <c r="B30" s="3" t="s">
        <v>250</v>
      </c>
      <c r="C30" s="3" t="s">
        <v>251</v>
      </c>
      <c r="D30" s="3" t="s">
        <v>252</v>
      </c>
      <c r="E30" s="3" t="s">
        <v>337</v>
      </c>
      <c r="F30" s="2" t="s">
        <v>46</v>
      </c>
      <c r="G30" s="12" t="s">
        <v>338</v>
      </c>
      <c r="H30" s="2" t="s">
        <v>282</v>
      </c>
      <c r="I30" s="5">
        <v>0</v>
      </c>
      <c r="J30" s="2" t="s">
        <v>282</v>
      </c>
      <c r="K30" s="6">
        <v>0</v>
      </c>
      <c r="L30" s="6">
        <v>0</v>
      </c>
      <c r="M30" s="6">
        <v>0</v>
      </c>
    </row>
    <row r="31" ht="38" customHeight="1" spans="1:13">
      <c r="A31" s="13" t="s">
        <v>265</v>
      </c>
      <c r="B31" s="14"/>
      <c r="C31" s="14"/>
      <c r="D31" s="14"/>
      <c r="E31" s="14"/>
      <c r="F31" s="14"/>
      <c r="G31" s="14"/>
      <c r="H31" s="14"/>
      <c r="I31" s="14"/>
      <c r="J31" s="15"/>
      <c r="K31" s="16">
        <f>SUM(K2:K30)</f>
        <v>4205.901307999</v>
      </c>
      <c r="L31" s="16">
        <f>SUM(L2:L30)</f>
        <v>2096.703502994</v>
      </c>
      <c r="M31" s="16">
        <f>SUM(M2:M30)</f>
        <v>2093.39</v>
      </c>
    </row>
  </sheetData>
  <autoFilter xmlns:etc="http://www.wps.cn/officeDocument/2017/etCustomData" ref="A1:M31" etc:filterBottomFollowUsedRange="0">
    <extLst/>
  </autoFilter>
  <mergeCells count="1">
    <mergeCell ref="A31:J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包年包月</vt:lpstr>
      <vt:lpstr>按量计费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瑾炎</cp:lastModifiedBy>
  <dcterms:created xsi:type="dcterms:W3CDTF">2026-09-08T06:05:00Z</dcterms:created>
  <dcterms:modified xsi:type="dcterms:W3CDTF">2026-10-19T07:54:14Z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f2db14b7-c561-4d1b-b91d-f18b25f5c84e","ReservedCode1":"72dafc97cd38b92e5f3d5cdfd0dfbbe6","ContentPropagator":"001191110000802100433B11010001191110000802100433B11010","PropagateID":"8f8f9ff3-1bad-40bf-a392-fd4d160df696","ReservedCode2":"2734827274df537123a472bf4de01eb5"}</vt:lpwstr>
  </property>
  <property fmtid="{D5CDD505-2E9C-101B-9397-08002B2CF9AE}" pid="3" name="ICV">
    <vt:lpwstr>000929C7CA1E489FA21E0627559E2AE8_12</vt:lpwstr>
  </property>
  <property fmtid="{D5CDD505-2E9C-101B-9397-08002B2CF9AE}" pid="4" name="KSOProductBuildVer">
    <vt:lpwstr>2052-12.1.0.28802</vt:lpwstr>
  </property>
  <property fmtid="{D5CDD505-2E9C-101B-9397-08002B2CF9AE}" pid="5" name="CalculationRule">
    <vt:i4>0</vt:i4>
  </property>
</Properties>
</file>
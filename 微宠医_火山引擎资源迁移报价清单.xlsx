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<sst xmlns="http://schemas.openxmlformats.org/spreadsheetml/2006/main" count="184" uniqueCount="80">
  <si>
    <t xml:space="preserve">火山引擎报价参考（微宠医）</t>
  </si>
  <si>
    <t xml:space="preserve">报价时间</t>
  </si>
  <si>
    <t xml:space="preserve">序号</t>
  </si>
  <si>
    <t xml:space="preserve">产品</t>
  </si>
  <si>
    <t xml:space="preserve">地域</t>
  </si>
  <si>
    <t xml:space="preserve">配置</t>
  </si>
  <si>
    <t xml:space="preserve">官网目录价/年</t>
  </si>
  <si>
    <t xml:space="preserve">官网刊例价/年</t>
  </si>
  <si>
    <t xml:space="preserve">备注</t>
  </si>
  <si>
    <t xml:space="preserve">云服务器</t>
  </si>
  <si>
    <t xml:space="preserve">上海</t>
  </si>
  <si>
    <t xml:space="preserve">实例名称：ECS-starRocks-01
实例规格：ecs.g3a.4xlarge
16 vCPU | 64 GiB
系统盘：极速型SSD PL0 40 GiB
数据盘：极速型SSD PL0 1024 GiB</t>
  </si>
  <si>
    <t xml:space="preserve">包年包月；云服务器含系统盘/数据盘，磁盘无官网包年价，按目录价列示</t>
  </si>
  <si>
    <t xml:space="preserve">实例名称：ECS-starRocks-02
实例规格：ecs.r4i.xlarge
4 vCPU | 32 GiB
系统盘：极速型SSD PL0 40 GiB
数据盘：极速型SSD PL0 1024 GiB</t>
  </si>
  <si>
    <t xml:space="preserve">包年包月；云服务器含系统盘/数据盘，磁盘无官网包年价，按目录价列示；数据待核：该规格官网包年价高于目录价年化，以实际下单为准</t>
  </si>
  <si>
    <t xml:space="preserve">实例名称：ECS-starRocks-03
实例规格：ecs.r4i.xlarge
4 vCPU | 32 GiB
系统盘：极速型SSD PL0 40 GiB
数据盘：极速型SSD PL0 1024 GiB</t>
  </si>
  <si>
    <t xml:space="preserve">实例名称：ECS-wcy-prod-front
实例规格：ecs.g3a.xlarge
4 vCPU | 16 GiB
系统盘：极速型SSD PL0 40 GiB
数据盘：极速型SSD PL0 200 GiB</t>
  </si>
  <si>
    <t xml:space="preserve">实例名称：ECS-wcy-uat-db
实例规格：ecs.r3a.large
2 vCPU | 16 GiB
系统盘：极速型SSD PL0 40 GiB
数据盘：极速型SSD PL0 300 GiB</t>
  </si>
  <si>
    <t xml:space="preserve">实例名称：ECS-wcy-uat-front
实例规格：ecs.g3a.large
2 vCPU | 8 GiB
系统盘：极速型SSD PL0 40 GiB
数据盘：极速型SSD PL0 200 GiB</t>
  </si>
  <si>
    <t xml:space="preserve">实例名称：ECS-wcy-uat-mq
实例规格：ecs.r3a.xlarge
4 vCPU | 32 GiB
系统盘：极速型SSD PL0 40 GiB
数据盘：极速型SSD PL0 300 GiB</t>
  </si>
  <si>
    <t xml:space="preserve">实例名称：ECS-wcy-uat-starRocks
实例规格：ecs.g3a.2xlarge
8 vCPU | 32 GiB
系统盘：极速型SSD PL0 40 GiB
数据盘：极速型SSD PL0 900 GiB</t>
  </si>
  <si>
    <t xml:space="preserve">实例名称：cd61phgl6mcnj53fq4oag-node-0000000
实例规格：ecs.r3a.2xlarge
8 vCPU | 64 GiB
系统盘：极速型SSD PL0 40 GiB
数据盘：极速型SSD PL0 200 GiB</t>
  </si>
  <si>
    <t xml:space="preserve">实例名称：cd61phgl6mcnj53fq4oag-node-0000001
实例规格：ecs.r3a.2xlarge
8 vCPU | 64 GiB
系统盘：极速型SSD PL0 40 GiB
数据盘：极速型SSD PL0 200 GiB</t>
  </si>
  <si>
    <t xml:space="preserve">实例名称：cd61phgl6mcnj53fq4oag-node-0000002
实例规格：ecs.r3a.2xlarge
8 vCPU | 64 GiB
系统盘：极速型SSD PL0 40 GiB
数据盘：极速型SSD PL0 200 GiB</t>
  </si>
  <si>
    <t xml:space="preserve">实例名称：prod-node-0000000
实例规格：ecs.r3a.4xlarge
16 vCPU | 128 GiB
系统盘：极速型SSD PL0 40 GiB
数据盘：极速型SSD PL0 200 GiB</t>
  </si>
  <si>
    <t xml:space="preserve">实例名称：prod-node-0000001
实例规格：ecs.r3a.4xlarge
16 vCPU | 128 GiB
系统盘：极速型SSD PL0 40 GiB
数据盘：极速型SSD PL0 200 GiB</t>
  </si>
  <si>
    <t xml:space="preserve">实例名称：prod-node-0000002
实例规格：ecs.r3a.4xlarge
16 vCPU | 128 GiB
系统盘：极速型SSD PL0 40 GiB
数据盘：极速型SSD PL0 200 GiB</t>
  </si>
  <si>
    <t xml:space="preserve">实例名称：prod-node-0000003
实例规格：ecs.r3a.4xlarge
16 vCPU | 128 GiB
系统盘：极速型SSD PL0 40 GiB
数据盘：极速型SSD PL0 200 GiB</t>
  </si>
  <si>
    <t xml:space="preserve">实例名称：prod-node-0000004
实例规格：ecs.r3a.4xlarge
16 vCPU | 128 GiB
系统盘：极速型SSD PL0 40 GiB
数据盘：极速型SSD PL0 200 GiB</t>
  </si>
  <si>
    <t xml:space="preserve">实例名称：wcy-prod-AI
实例规格：ecs.g3a.xlarge
4 vCPU | 16 GiB
系统盘：极速型SSD PL0 20 GiB
数据盘：极速型SSD PL0 500 GiB</t>
  </si>
  <si>
    <t xml:space="preserve">实例名称：wcy-prod-TiDB-001
实例规格：ecs.g3a.4xlarge
16 vCPU | 64 GiB
系统盘：极速型SSD PL0 40 GiB
数据盘：极速型SSD PL0 200 GiB</t>
  </si>
  <si>
    <t xml:space="preserve">实例名称：wcy-prod-TiDB-002
实例规格：ecs.g3a.4xlarge
16 vCPU | 64 GiB
系统盘：极速型SSD PL0 40 GiB
数据盘：极速型SSD PL0 500 GiB</t>
  </si>
  <si>
    <t xml:space="preserve">实例名称：wcy-prod-TiDB-003
实例规格：ecs.g3a.4xlarge
16 vCPU | 64 GiB
系统盘：极速型SSD PL0 40 GiB
数据盘：极速型SSD PL0 200 GiB</t>
  </si>
  <si>
    <t xml:space="preserve">实例名称：wcy-prod-TiKV-001
实例规格：ecs.g3a.4xlarge
16 vCPU | 64 GiB
系统盘：极速型SSD PL0 40 GiB
数据盘：极速型SSD PL0 1024 GiB</t>
  </si>
  <si>
    <t xml:space="preserve">实例名称：wcy-prod-TiKV-002
实例规格：ecs.g3a.4xlarge
16 vCPU | 64 GiB
系统盘：极速型SSD PL0 40 GiB
数据盘：极速型SSD PL0 1024 GiB</t>
  </si>
  <si>
    <t xml:space="preserve">实例名称：wcy-prod-TiKV-003
实例规格：ecs.g3a.4xlarge
16 vCPU | 64 GiB
系统盘：极速型SSD PL0 40 GiB
数据盘：极速型SSD PL0 1024 GiB</t>
  </si>
  <si>
    <t xml:space="preserve">云数据库 MySQL 版</t>
  </si>
  <si>
    <t xml:space="preserve">本地盘版-独享规格
规格：8C32G×2 + 16C64G×2（主备）
存储：LocalSSD 3000 GiB</t>
  </si>
  <si>
    <t xml:space="preserve">包年包月（含代理，代理费按量另计）</t>
  </si>
  <si>
    <t xml:space="preserve">文档数据库 MongoDB 版</t>
  </si>
  <si>
    <t xml:space="preserve">副本集 4核16GB×2（3 节点）
存储空间：600 GiB</t>
  </si>
  <si>
    <t xml:space="preserve">包年包月</t>
  </si>
  <si>
    <t xml:space="preserve">消息队列 RocketMQ 版</t>
  </si>
  <si>
    <t xml:space="preserve">标准版：rocketmq.n1.x2.tiny
高速存储：800 GiB</t>
  </si>
  <si>
    <t xml:space="preserve">消息队列 Kafka 版</t>
  </si>
  <si>
    <t xml:space="preserve">标准版：kafka.20xrate.hw
高速存储：900 GiB</t>
  </si>
  <si>
    <t xml:space="preserve">缓存数据库 Redis 版</t>
  </si>
  <si>
    <t xml:space="preserve">分片集群（包月）
规格合计：8 GiB（account 2 + app 4 + label 2）</t>
  </si>
  <si>
    <t xml:space="preserve">云堡垒机</t>
  </si>
  <si>
    <t xml:space="preserve">20 资产实例
+ 数据库资产扩展包</t>
  </si>
  <si>
    <t xml:space="preserve">Web 应用防火墙</t>
  </si>
  <si>
    <t xml:space="preserve">国内通用</t>
  </si>
  <si>
    <t xml:space="preserve">云 WAF 基础版实例
+ 访问日志 1 TiB</t>
  </si>
  <si>
    <t xml:space="preserve">NAT 网关</t>
  </si>
  <si>
    <t xml:space="preserve">规格配置费-包月（小型）</t>
  </si>
  <si>
    <t xml:space="preserve">负载均衡</t>
  </si>
  <si>
    <t xml:space="preserve">CLB-uat-private（小型 I）
+ CLB-wcy-prod-private（小型 II）
包月实例费 + 规格配置费</t>
  </si>
  <si>
    <t xml:space="preserve">数据库传输服务</t>
  </si>
  <si>
    <t xml:space="preserve">数据订阅-配置费用（包月）</t>
  </si>
  <si>
    <t xml:space="preserve">镜像仓库</t>
  </si>
  <si>
    <t xml:space="preserve">镜像仓库-小微版 实例（包月）</t>
  </si>
  <si>
    <t xml:space="preserve">容器服务-托管版</t>
  </si>
  <si>
    <t xml:space="preserve">容器服务托管版（VKE）
wcy-prod + wcy-test 集群</t>
  </si>
  <si>
    <t xml:space="preserve">按量计费（按当前月用量年化参考）</t>
  </si>
  <si>
    <t xml:space="preserve">数据库代理-标准规格（按量核时）
wcy-prod-mysql-ext / -rds</t>
  </si>
  <si>
    <t xml:space="preserve">托管 Prometheus</t>
  </si>
  <si>
    <t xml:space="preserve">标准版-15 天
自定义指标写入量</t>
  </si>
  <si>
    <t xml:space="preserve">CLB-uat-public / CLB-wcy-pro-public（小型 I）
+ apiserver-lb-internal（小型 II），按量</t>
  </si>
  <si>
    <t xml:space="preserve">对象存储</t>
  </si>
  <si>
    <t xml:space="preserve">标准 + 低频 存储容量、请求次数、公网流出流量
（含华北2-北京低频存储）</t>
  </si>
  <si>
    <t xml:space="preserve">日志服务</t>
  </si>
  <si>
    <t xml:space="preserve">标准版按量
存储 / 索引 / 写流量 / API 调用</t>
  </si>
  <si>
    <t xml:space="preserve">共享带宽包</t>
  </si>
  <si>
    <t xml:space="preserve">BGP 按主流量计费</t>
  </si>
  <si>
    <t xml:space="preserve">数据订阅-数据流量</t>
  </si>
  <si>
    <t xml:space="preserve">按量计费（当前用量为 0）</t>
  </si>
  <si>
    <t xml:space="preserve">公网流出流量（累进）</t>
  </si>
  <si>
    <t xml:space="preserve">总计</t>
  </si>
  <si>
    <t xml:space="preserve">注：报价仅供参考，请以实际下单金额为准</t>
  </si>
  <si>
    <t xml:space="preserve">说明：1）云服务器行已按客户清单「实例名称」将云服务器与其系统盘/数据盘合并列示，不再单独报价；2）官网目录价/年 = 客户清单月度官网目录价 × 12；3）官网刊例价/年 = 官网包年价（客户清单“官网折扣价/年”），系统盘/数据盘及按量计费产品无官网包年价，按目录价年化列示；4）按量计费项目按当前月用量年化，仅作参考；5）数据来源：客户《微宠医_火山云_需求配置清单》；最终以官网实际下单金额为准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</si>
</sst>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￥#,##0.00_);[RED]&quot;(￥&quot;#,##0.00\)"/>
  </numFmts>
  <fonts count="1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宋体"/>
      <family val="0"/>
      <charset val="134"/>
    </font>
    <font>
      <b val="true"/>
      <sz val="11"/>
      <color theme="1"/>
      <name val="Noto Sans CJK SC"/>
      <family val="2"/>
      <charset val="1"/>
    </font>
    <font>
      <b val="true"/>
      <sz val="12"/>
      <color theme="1"/>
      <name val="微软雅黑"/>
      <family val="0"/>
      <charset val="134"/>
    </font>
    <font>
      <b val="true"/>
      <sz val="12"/>
      <color theme="1"/>
      <name val="Noto Sans CJK SC"/>
      <family val="2"/>
      <charset val="1"/>
    </font>
    <font>
      <b val="true"/>
      <sz val="12"/>
      <color theme="1"/>
      <name val="宋体"/>
      <family val="0"/>
      <charset val="134"/>
    </font>
    <font>
      <b val="true"/>
      <sz val="11"/>
      <color rgb="FFFF0000"/>
      <name val="Noto Sans CJK SC"/>
      <family val="2"/>
      <charset val="1"/>
    </font>
    <font>
      <sz val="11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8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61328125" defaultRowHeight="13.5" zeroHeight="false" outlineLevelRow="0" outlineLevelCol="0"/>
  <cols>
    <col collapsed="false" customWidth="true" hidden="false" outlineLevel="0" max="1" min="1" style="1" width="7.79"/>
    <col collapsed="false" customWidth="true" hidden="false" outlineLevel="0" max="2" min="2" style="1" width="12.74"/>
    <col collapsed="false" customWidth="true" hidden="false" outlineLevel="0" max="3" min="3" style="1" width="10"/>
    <col collapsed="false" customWidth="true" hidden="false" outlineLevel="0" max="4" min="4" style="1" width="38.84"/>
    <col collapsed="false" customWidth="true" hidden="false" outlineLevel="0" max="6" min="5" style="1" width="22.08"/>
    <col collapsed="false" customWidth="true" hidden="false" outlineLevel="0" max="7" min="7" style="1" width="29.03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" hidden="false" customHeight="true" outlineLevel="0" collapsed="false">
      <c r="F2" s="3" t="s">
        <v>1</v>
      </c>
      <c r="G2" s="4" t="n">
        <f aca="true">TODAY()</f>
        <v>46314</v>
      </c>
    </row>
    <row r="3" customFormat="false" ht="36" hidden="false" customHeight="tru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customFormat="false" ht="97.5" hidden="false" customHeight="true" outlineLevel="0" collapsed="false">
      <c r="A4" s="6" t="n">
        <v>1</v>
      </c>
      <c r="B4" s="7" t="s">
        <v>9</v>
      </c>
      <c r="C4" s="7" t="s">
        <v>10</v>
      </c>
      <c r="D4" s="8" t="s">
        <v>11</v>
      </c>
      <c r="E4" s="9" t="n">
        <v>26586.24</v>
      </c>
      <c r="F4" s="9" t="n">
        <v>24410.11</v>
      </c>
      <c r="G4" s="7" t="s">
        <v>12</v>
      </c>
    </row>
    <row r="5" customFormat="false" ht="97.5" hidden="false" customHeight="true" outlineLevel="0" collapsed="false">
      <c r="A5" s="6" t="n">
        <v>2</v>
      </c>
      <c r="B5" s="7" t="s">
        <v>9</v>
      </c>
      <c r="C5" s="7" t="s">
        <v>10</v>
      </c>
      <c r="D5" s="8" t="s">
        <v>13</v>
      </c>
      <c r="E5" s="9" t="n">
        <v>13536</v>
      </c>
      <c r="F5" s="9" t="n">
        <v>16188.48</v>
      </c>
      <c r="G5" s="7" t="s">
        <v>14</v>
      </c>
    </row>
    <row r="6" customFormat="false" ht="97.5" hidden="false" customHeight="true" outlineLevel="0" collapsed="false">
      <c r="A6" s="6" t="n">
        <v>3</v>
      </c>
      <c r="B6" s="7" t="s">
        <v>9</v>
      </c>
      <c r="C6" s="7" t="s">
        <v>10</v>
      </c>
      <c r="D6" s="8" t="s">
        <v>15</v>
      </c>
      <c r="E6" s="9" t="n">
        <v>13536</v>
      </c>
      <c r="F6" s="9" t="n">
        <v>16188.48</v>
      </c>
      <c r="G6" s="7" t="s">
        <v>14</v>
      </c>
    </row>
    <row r="7" customFormat="false" ht="97.5" hidden="false" customHeight="true" outlineLevel="0" collapsed="false">
      <c r="A7" s="6" t="n">
        <v>4</v>
      </c>
      <c r="B7" s="7" t="s">
        <v>9</v>
      </c>
      <c r="C7" s="7" t="s">
        <v>10</v>
      </c>
      <c r="D7" s="8" t="s">
        <v>16</v>
      </c>
      <c r="E7" s="9" t="n">
        <v>6490.56</v>
      </c>
      <c r="F7" s="9" t="n">
        <v>5817.05</v>
      </c>
      <c r="G7" s="7" t="s">
        <v>12</v>
      </c>
    </row>
    <row r="8" customFormat="false" ht="97.5" hidden="false" customHeight="true" outlineLevel="0" collapsed="false">
      <c r="A8" s="6" t="n">
        <v>5</v>
      </c>
      <c r="B8" s="7" t="s">
        <v>9</v>
      </c>
      <c r="C8" s="7" t="s">
        <v>10</v>
      </c>
      <c r="D8" s="8" t="s">
        <v>17</v>
      </c>
      <c r="E8" s="9" t="n">
        <v>5462.04</v>
      </c>
      <c r="F8" s="9" t="n">
        <v>5889.08</v>
      </c>
      <c r="G8" s="7" t="s">
        <v>14</v>
      </c>
    </row>
    <row r="9" customFormat="false" ht="97.5" hidden="false" customHeight="true" outlineLevel="0" collapsed="false">
      <c r="A9" s="6" t="n">
        <v>6</v>
      </c>
      <c r="B9" s="7" t="s">
        <v>9</v>
      </c>
      <c r="C9" s="7" t="s">
        <v>10</v>
      </c>
      <c r="D9" s="8" t="s">
        <v>18</v>
      </c>
      <c r="E9" s="9" t="n">
        <v>3965.28</v>
      </c>
      <c r="F9" s="9" t="n">
        <v>4226.12</v>
      </c>
      <c r="G9" s="7" t="s">
        <v>14</v>
      </c>
    </row>
    <row r="10" customFormat="false" ht="97.5" hidden="false" customHeight="true" outlineLevel="0" collapsed="false">
      <c r="A10" s="6" t="n">
        <v>7</v>
      </c>
      <c r="B10" s="7" t="s">
        <v>9</v>
      </c>
      <c r="C10" s="7" t="s">
        <v>10</v>
      </c>
      <c r="D10" s="8" t="s">
        <v>19</v>
      </c>
      <c r="E10" s="9" t="n">
        <v>8884.08</v>
      </c>
      <c r="F10" s="9" t="n">
        <v>8044.97</v>
      </c>
      <c r="G10" s="7" t="s">
        <v>12</v>
      </c>
    </row>
    <row r="11" customFormat="false" ht="97.5" hidden="false" customHeight="true" outlineLevel="0" collapsed="false">
      <c r="A11" s="6" t="n">
        <v>8</v>
      </c>
      <c r="B11" s="7" t="s">
        <v>9</v>
      </c>
      <c r="C11" s="7" t="s">
        <v>10</v>
      </c>
      <c r="D11" s="8" t="s">
        <v>20</v>
      </c>
      <c r="E11" s="9" t="n">
        <v>15741.12</v>
      </c>
      <c r="F11" s="9" t="n">
        <v>16684.9</v>
      </c>
      <c r="G11" s="7" t="s">
        <v>14</v>
      </c>
    </row>
    <row r="12" customFormat="false" ht="97.5" hidden="false" customHeight="true" outlineLevel="0" collapsed="false">
      <c r="A12" s="6" t="n">
        <v>9</v>
      </c>
      <c r="B12" s="7" t="s">
        <v>9</v>
      </c>
      <c r="C12" s="7" t="s">
        <v>10</v>
      </c>
      <c r="D12" s="8" t="s">
        <v>21</v>
      </c>
      <c r="E12" s="9" t="n">
        <v>15128.16</v>
      </c>
      <c r="F12" s="9" t="n">
        <v>11258.73</v>
      </c>
      <c r="G12" s="7" t="s">
        <v>12</v>
      </c>
    </row>
    <row r="13" customFormat="false" ht="97.5" hidden="false" customHeight="true" outlineLevel="0" collapsed="false">
      <c r="A13" s="6" t="n">
        <v>10</v>
      </c>
      <c r="B13" s="7" t="s">
        <v>9</v>
      </c>
      <c r="C13" s="7" t="s">
        <v>10</v>
      </c>
      <c r="D13" s="8" t="s">
        <v>22</v>
      </c>
      <c r="E13" s="9" t="n">
        <v>15128.16</v>
      </c>
      <c r="F13" s="9" t="n">
        <v>11258.73</v>
      </c>
      <c r="G13" s="7" t="s">
        <v>12</v>
      </c>
    </row>
    <row r="14" customFormat="false" ht="97.5" hidden="false" customHeight="true" outlineLevel="0" collapsed="false">
      <c r="A14" s="6" t="n">
        <v>11</v>
      </c>
      <c r="B14" s="7" t="s">
        <v>9</v>
      </c>
      <c r="C14" s="7" t="s">
        <v>10</v>
      </c>
      <c r="D14" s="8" t="s">
        <v>23</v>
      </c>
      <c r="E14" s="9" t="n">
        <v>15128.16</v>
      </c>
      <c r="F14" s="9" t="n">
        <v>11258.73</v>
      </c>
      <c r="G14" s="7" t="s">
        <v>12</v>
      </c>
    </row>
    <row r="15" customFormat="false" ht="97.5" hidden="false" customHeight="true" outlineLevel="0" collapsed="false">
      <c r="A15" s="6" t="n">
        <v>12</v>
      </c>
      <c r="B15" s="7" t="s">
        <v>9</v>
      </c>
      <c r="C15" s="7" t="s">
        <v>10</v>
      </c>
      <c r="D15" s="8" t="s">
        <v>24</v>
      </c>
      <c r="E15" s="9" t="n">
        <v>28816.32</v>
      </c>
      <c r="F15" s="9" t="n">
        <v>19882.26</v>
      </c>
      <c r="G15" s="7" t="s">
        <v>12</v>
      </c>
    </row>
    <row r="16" customFormat="false" ht="97.5" hidden="false" customHeight="true" outlineLevel="0" collapsed="false">
      <c r="A16" s="6" t="n">
        <v>13</v>
      </c>
      <c r="B16" s="7" t="s">
        <v>9</v>
      </c>
      <c r="C16" s="7" t="s">
        <v>10</v>
      </c>
      <c r="D16" s="8" t="s">
        <v>25</v>
      </c>
      <c r="E16" s="9" t="n">
        <v>28816.32</v>
      </c>
      <c r="F16" s="9" t="n">
        <v>19882.26</v>
      </c>
      <c r="G16" s="7" t="s">
        <v>12</v>
      </c>
    </row>
    <row r="17" customFormat="false" ht="97.5" hidden="false" customHeight="true" outlineLevel="0" collapsed="false">
      <c r="A17" s="6" t="n">
        <v>14</v>
      </c>
      <c r="B17" s="7" t="s">
        <v>9</v>
      </c>
      <c r="C17" s="7" t="s">
        <v>10</v>
      </c>
      <c r="D17" s="8" t="s">
        <v>26</v>
      </c>
      <c r="E17" s="9" t="n">
        <v>28816.32</v>
      </c>
      <c r="F17" s="9" t="n">
        <v>19882.26</v>
      </c>
      <c r="G17" s="7" t="s">
        <v>12</v>
      </c>
    </row>
    <row r="18" customFormat="false" ht="97.5" hidden="false" customHeight="true" outlineLevel="0" collapsed="false">
      <c r="A18" s="6" t="n">
        <v>15</v>
      </c>
      <c r="B18" s="7" t="s">
        <v>9</v>
      </c>
      <c r="C18" s="7" t="s">
        <v>10</v>
      </c>
      <c r="D18" s="8" t="s">
        <v>27</v>
      </c>
      <c r="E18" s="9" t="n">
        <v>28816.32</v>
      </c>
      <c r="F18" s="9" t="n">
        <v>19882.26</v>
      </c>
      <c r="G18" s="7" t="s">
        <v>12</v>
      </c>
    </row>
    <row r="19" customFormat="false" ht="97.5" hidden="false" customHeight="true" outlineLevel="0" collapsed="false">
      <c r="A19" s="6" t="n">
        <v>16</v>
      </c>
      <c r="B19" s="7" t="s">
        <v>9</v>
      </c>
      <c r="C19" s="7" t="s">
        <v>10</v>
      </c>
      <c r="D19" s="8" t="s">
        <v>28</v>
      </c>
      <c r="E19" s="9" t="n">
        <v>28816.32</v>
      </c>
      <c r="F19" s="9" t="n">
        <v>19882.26</v>
      </c>
      <c r="G19" s="7" t="s">
        <v>12</v>
      </c>
    </row>
    <row r="20" customFormat="false" ht="97.5" hidden="false" customHeight="true" outlineLevel="0" collapsed="false">
      <c r="A20" s="6" t="n">
        <v>17</v>
      </c>
      <c r="B20" s="7" t="s">
        <v>9</v>
      </c>
      <c r="C20" s="7" t="s">
        <v>10</v>
      </c>
      <c r="D20" s="8" t="s">
        <v>29</v>
      </c>
      <c r="E20" s="9" t="n">
        <v>8170.56</v>
      </c>
      <c r="F20" s="9" t="n">
        <v>8891.45</v>
      </c>
      <c r="G20" s="7" t="s">
        <v>14</v>
      </c>
    </row>
    <row r="21" customFormat="false" ht="97.5" hidden="false" customHeight="true" outlineLevel="0" collapsed="false">
      <c r="A21" s="6" t="n">
        <v>18</v>
      </c>
      <c r="B21" s="7" t="s">
        <v>9</v>
      </c>
      <c r="C21" s="7" t="s">
        <v>10</v>
      </c>
      <c r="D21" s="8" t="s">
        <v>30</v>
      </c>
      <c r="E21" s="9" t="n">
        <v>21642.24</v>
      </c>
      <c r="F21" s="9" t="n">
        <v>15362.59</v>
      </c>
      <c r="G21" s="7" t="s">
        <v>12</v>
      </c>
    </row>
    <row r="22" customFormat="false" ht="97.5" hidden="false" customHeight="true" outlineLevel="0" collapsed="false">
      <c r="A22" s="6" t="n">
        <v>19</v>
      </c>
      <c r="B22" s="7" t="s">
        <v>9</v>
      </c>
      <c r="C22" s="7" t="s">
        <v>10</v>
      </c>
      <c r="D22" s="8" t="s">
        <v>31</v>
      </c>
      <c r="E22" s="9" t="n">
        <v>23442.24</v>
      </c>
      <c r="F22" s="9" t="n">
        <v>18656.59</v>
      </c>
      <c r="G22" s="7" t="s">
        <v>12</v>
      </c>
    </row>
    <row r="23" customFormat="false" ht="97.5" hidden="false" customHeight="true" outlineLevel="0" collapsed="false">
      <c r="A23" s="6" t="n">
        <v>20</v>
      </c>
      <c r="B23" s="7" t="s">
        <v>9</v>
      </c>
      <c r="C23" s="7" t="s">
        <v>10</v>
      </c>
      <c r="D23" s="8" t="s">
        <v>32</v>
      </c>
      <c r="E23" s="9" t="n">
        <v>21642.24</v>
      </c>
      <c r="F23" s="9" t="n">
        <v>15362.59</v>
      </c>
      <c r="G23" s="7" t="s">
        <v>12</v>
      </c>
    </row>
    <row r="24" customFormat="false" ht="97.5" hidden="false" customHeight="true" outlineLevel="0" collapsed="false">
      <c r="A24" s="6" t="n">
        <v>21</v>
      </c>
      <c r="B24" s="7" t="s">
        <v>9</v>
      </c>
      <c r="C24" s="7" t="s">
        <v>10</v>
      </c>
      <c r="D24" s="8" t="s">
        <v>33</v>
      </c>
      <c r="E24" s="9" t="n">
        <v>26586.24</v>
      </c>
      <c r="F24" s="9" t="n">
        <v>24410.11</v>
      </c>
      <c r="G24" s="7" t="s">
        <v>12</v>
      </c>
    </row>
    <row r="25" customFormat="false" ht="97.5" hidden="false" customHeight="true" outlineLevel="0" collapsed="false">
      <c r="A25" s="6" t="n">
        <v>22</v>
      </c>
      <c r="B25" s="7" t="s">
        <v>9</v>
      </c>
      <c r="C25" s="7" t="s">
        <v>10</v>
      </c>
      <c r="D25" s="8" t="s">
        <v>34</v>
      </c>
      <c r="E25" s="9" t="n">
        <v>26586.24</v>
      </c>
      <c r="F25" s="9" t="n">
        <v>24410.11</v>
      </c>
      <c r="G25" s="7" t="s">
        <v>12</v>
      </c>
    </row>
    <row r="26" customFormat="false" ht="97.5" hidden="false" customHeight="true" outlineLevel="0" collapsed="false">
      <c r="A26" s="6" t="n">
        <v>23</v>
      </c>
      <c r="B26" s="7" t="s">
        <v>9</v>
      </c>
      <c r="C26" s="7" t="s">
        <v>10</v>
      </c>
      <c r="D26" s="8" t="s">
        <v>35</v>
      </c>
      <c r="E26" s="9" t="n">
        <v>26586.24</v>
      </c>
      <c r="F26" s="9" t="n">
        <v>24410.11</v>
      </c>
      <c r="G26" s="7" t="s">
        <v>12</v>
      </c>
    </row>
    <row r="27" customFormat="false" ht="61.5" hidden="false" customHeight="true" outlineLevel="0" collapsed="false">
      <c r="A27" s="6" t="n">
        <v>24</v>
      </c>
      <c r="B27" s="7" t="s">
        <v>36</v>
      </c>
      <c r="C27" s="7" t="s">
        <v>10</v>
      </c>
      <c r="D27" s="8" t="s">
        <v>37</v>
      </c>
      <c r="E27" s="9" t="n">
        <v>125280</v>
      </c>
      <c r="F27" s="9" t="n">
        <v>93960</v>
      </c>
      <c r="G27" s="7" t="s">
        <v>38</v>
      </c>
    </row>
    <row r="28" customFormat="false" ht="43.5" hidden="false" customHeight="true" outlineLevel="0" collapsed="false">
      <c r="A28" s="6" t="n">
        <v>25</v>
      </c>
      <c r="B28" s="7" t="s">
        <v>39</v>
      </c>
      <c r="C28" s="7" t="s">
        <v>10</v>
      </c>
      <c r="D28" s="8" t="s">
        <v>40</v>
      </c>
      <c r="E28" s="9" t="n">
        <v>25920</v>
      </c>
      <c r="F28" s="9" t="n">
        <v>19440</v>
      </c>
      <c r="G28" s="7" t="s">
        <v>41</v>
      </c>
    </row>
    <row r="29" customFormat="false" ht="43.5" hidden="false" customHeight="true" outlineLevel="0" collapsed="false">
      <c r="A29" s="6" t="n">
        <v>26</v>
      </c>
      <c r="B29" s="7" t="s">
        <v>42</v>
      </c>
      <c r="C29" s="7" t="s">
        <v>10</v>
      </c>
      <c r="D29" s="8" t="s">
        <v>43</v>
      </c>
      <c r="E29" s="9" t="n">
        <v>28800</v>
      </c>
      <c r="F29" s="9" t="n">
        <v>23904</v>
      </c>
      <c r="G29" s="7" t="s">
        <v>41</v>
      </c>
    </row>
    <row r="30" customFormat="false" ht="43.5" hidden="false" customHeight="true" outlineLevel="0" collapsed="false">
      <c r="A30" s="6" t="n">
        <v>27</v>
      </c>
      <c r="B30" s="7" t="s">
        <v>44</v>
      </c>
      <c r="C30" s="7" t="s">
        <v>10</v>
      </c>
      <c r="D30" s="8" t="s">
        <v>45</v>
      </c>
      <c r="E30" s="9" t="n">
        <v>23478</v>
      </c>
      <c r="F30" s="9" t="n">
        <v>19486.74</v>
      </c>
      <c r="G30" s="7" t="s">
        <v>41</v>
      </c>
    </row>
    <row r="31" customFormat="false" ht="43.5" hidden="false" customHeight="true" outlineLevel="0" collapsed="false">
      <c r="A31" s="6" t="n">
        <v>28</v>
      </c>
      <c r="B31" s="7" t="s">
        <v>46</v>
      </c>
      <c r="C31" s="7" t="s">
        <v>10</v>
      </c>
      <c r="D31" s="8" t="s">
        <v>47</v>
      </c>
      <c r="E31" s="9" t="n">
        <v>5199.72</v>
      </c>
      <c r="F31" s="9" t="n">
        <v>2937.6</v>
      </c>
      <c r="G31" s="7" t="s">
        <v>41</v>
      </c>
    </row>
    <row r="32" customFormat="false" ht="43.5" hidden="false" customHeight="true" outlineLevel="0" collapsed="false">
      <c r="A32" s="6" t="n">
        <v>29</v>
      </c>
      <c r="B32" s="7" t="s">
        <v>48</v>
      </c>
      <c r="C32" s="7" t="s">
        <v>10</v>
      </c>
      <c r="D32" s="8" t="s">
        <v>49</v>
      </c>
      <c r="E32" s="9" t="n">
        <v>28800</v>
      </c>
      <c r="F32" s="9" t="n">
        <v>24480</v>
      </c>
      <c r="G32" s="7" t="s">
        <v>41</v>
      </c>
    </row>
    <row r="33" customFormat="false" ht="43.5" hidden="false" customHeight="true" outlineLevel="0" collapsed="false">
      <c r="A33" s="6" t="n">
        <v>30</v>
      </c>
      <c r="B33" s="7" t="s">
        <v>50</v>
      </c>
      <c r="C33" s="7" t="s">
        <v>51</v>
      </c>
      <c r="D33" s="8" t="s">
        <v>52</v>
      </c>
      <c r="E33" s="9" t="n">
        <v>22920</v>
      </c>
      <c r="F33" s="9" t="n">
        <v>22920</v>
      </c>
      <c r="G33" s="7" t="s">
        <v>41</v>
      </c>
    </row>
    <row r="34" customFormat="false" ht="31.5" hidden="false" customHeight="true" outlineLevel="0" collapsed="false">
      <c r="A34" s="6" t="n">
        <v>31</v>
      </c>
      <c r="B34" s="7" t="s">
        <v>53</v>
      </c>
      <c r="C34" s="7" t="s">
        <v>10</v>
      </c>
      <c r="D34" s="8" t="s">
        <v>54</v>
      </c>
      <c r="E34" s="9" t="n">
        <v>3672</v>
      </c>
      <c r="F34" s="9" t="n">
        <v>3121.2</v>
      </c>
      <c r="G34" s="7" t="s">
        <v>41</v>
      </c>
    </row>
    <row r="35" customFormat="false" ht="61.5" hidden="false" customHeight="true" outlineLevel="0" collapsed="false">
      <c r="A35" s="6" t="n">
        <v>32</v>
      </c>
      <c r="B35" s="7" t="s">
        <v>55</v>
      </c>
      <c r="C35" s="7" t="s">
        <v>10</v>
      </c>
      <c r="D35" s="8" t="s">
        <v>56</v>
      </c>
      <c r="E35" s="9" t="n">
        <v>2916</v>
      </c>
      <c r="F35" s="9" t="n">
        <v>2478.6</v>
      </c>
      <c r="G35" s="7" t="s">
        <v>41</v>
      </c>
    </row>
    <row r="36" customFormat="false" ht="31.5" hidden="false" customHeight="true" outlineLevel="0" collapsed="false">
      <c r="A36" s="6" t="n">
        <v>33</v>
      </c>
      <c r="B36" s="7" t="s">
        <v>57</v>
      </c>
      <c r="C36" s="7" t="s">
        <v>10</v>
      </c>
      <c r="D36" s="8" t="s">
        <v>58</v>
      </c>
      <c r="E36" s="9" t="n">
        <v>8640</v>
      </c>
      <c r="F36" s="9" t="n">
        <v>7171.2</v>
      </c>
      <c r="G36" s="7" t="s">
        <v>41</v>
      </c>
    </row>
    <row r="37" customFormat="false" ht="31.5" hidden="false" customHeight="true" outlineLevel="0" collapsed="false">
      <c r="A37" s="6" t="n">
        <v>34</v>
      </c>
      <c r="B37" s="7" t="s">
        <v>59</v>
      </c>
      <c r="C37" s="7" t="s">
        <v>10</v>
      </c>
      <c r="D37" s="8" t="s">
        <v>60</v>
      </c>
      <c r="E37" s="9" t="n">
        <v>600</v>
      </c>
      <c r="F37" s="9" t="n">
        <v>498</v>
      </c>
      <c r="G37" s="7" t="s">
        <v>41</v>
      </c>
    </row>
    <row r="38" customFormat="false" ht="43.5" hidden="false" customHeight="true" outlineLevel="0" collapsed="false">
      <c r="A38" s="6" t="n">
        <v>35</v>
      </c>
      <c r="B38" s="7" t="s">
        <v>61</v>
      </c>
      <c r="C38" s="7" t="s">
        <v>10</v>
      </c>
      <c r="D38" s="8" t="s">
        <v>62</v>
      </c>
      <c r="E38" s="9" t="n">
        <v>10713.6</v>
      </c>
      <c r="F38" s="9" t="n">
        <v>10713.6</v>
      </c>
      <c r="G38" s="7" t="s">
        <v>63</v>
      </c>
    </row>
    <row r="39" customFormat="false" ht="43.5" hidden="false" customHeight="true" outlineLevel="0" collapsed="false">
      <c r="A39" s="6" t="n">
        <v>36</v>
      </c>
      <c r="B39" s="7" t="s">
        <v>36</v>
      </c>
      <c r="C39" s="7" t="s">
        <v>10</v>
      </c>
      <c r="D39" s="8" t="s">
        <v>64</v>
      </c>
      <c r="E39" s="9" t="n">
        <v>15641.86</v>
      </c>
      <c r="F39" s="9" t="n">
        <v>15641.86</v>
      </c>
      <c r="G39" s="7" t="s">
        <v>63</v>
      </c>
    </row>
    <row r="40" customFormat="false" ht="43.5" hidden="false" customHeight="true" outlineLevel="0" collapsed="false">
      <c r="A40" s="6" t="n">
        <v>37</v>
      </c>
      <c r="B40" s="7" t="s">
        <v>65</v>
      </c>
      <c r="C40" s="7" t="s">
        <v>10</v>
      </c>
      <c r="D40" s="8" t="s">
        <v>66</v>
      </c>
      <c r="E40" s="9" t="n">
        <v>12769.77</v>
      </c>
      <c r="F40" s="9" t="n">
        <v>12769.77</v>
      </c>
      <c r="G40" s="7" t="s">
        <v>63</v>
      </c>
    </row>
    <row r="41" customFormat="false" ht="43.5" hidden="false" customHeight="true" outlineLevel="0" collapsed="false">
      <c r="A41" s="6" t="n">
        <v>38</v>
      </c>
      <c r="B41" s="7" t="s">
        <v>55</v>
      </c>
      <c r="C41" s="7" t="s">
        <v>10</v>
      </c>
      <c r="D41" s="8" t="s">
        <v>67</v>
      </c>
      <c r="E41" s="9" t="n">
        <v>8035.2</v>
      </c>
      <c r="F41" s="9" t="n">
        <v>8035.2</v>
      </c>
      <c r="G41" s="7" t="s">
        <v>63</v>
      </c>
    </row>
    <row r="42" customFormat="false" ht="43.5" hidden="false" customHeight="true" outlineLevel="0" collapsed="false">
      <c r="A42" s="6" t="n">
        <v>39</v>
      </c>
      <c r="B42" s="7" t="s">
        <v>68</v>
      </c>
      <c r="C42" s="7" t="s">
        <v>10</v>
      </c>
      <c r="D42" s="8" t="s">
        <v>69</v>
      </c>
      <c r="E42" s="9" t="n">
        <v>1778.68</v>
      </c>
      <c r="F42" s="9" t="n">
        <v>1778.68</v>
      </c>
      <c r="G42" s="7" t="s">
        <v>63</v>
      </c>
    </row>
    <row r="43" customFormat="false" ht="43.5" hidden="false" customHeight="true" outlineLevel="0" collapsed="false">
      <c r="A43" s="6" t="n">
        <v>40</v>
      </c>
      <c r="B43" s="7" t="s">
        <v>70</v>
      </c>
      <c r="C43" s="7" t="s">
        <v>10</v>
      </c>
      <c r="D43" s="8" t="s">
        <v>71</v>
      </c>
      <c r="E43" s="9" t="n">
        <v>1166.26</v>
      </c>
      <c r="F43" s="9" t="n">
        <v>1166.26</v>
      </c>
      <c r="G43" s="7" t="s">
        <v>63</v>
      </c>
    </row>
    <row r="44" customFormat="false" ht="31.5" hidden="false" customHeight="true" outlineLevel="0" collapsed="false">
      <c r="A44" s="6" t="n">
        <v>41</v>
      </c>
      <c r="B44" s="7" t="s">
        <v>72</v>
      </c>
      <c r="C44" s="7" t="s">
        <v>10</v>
      </c>
      <c r="D44" s="8" t="s">
        <v>73</v>
      </c>
      <c r="E44" s="9" t="n">
        <v>365.44</v>
      </c>
      <c r="F44" s="9" t="n">
        <v>365.44</v>
      </c>
      <c r="G44" s="7" t="s">
        <v>63</v>
      </c>
    </row>
    <row r="45" customFormat="false" ht="31.5" hidden="false" customHeight="true" outlineLevel="0" collapsed="false">
      <c r="A45" s="6" t="n">
        <v>42</v>
      </c>
      <c r="B45" s="7" t="s">
        <v>57</v>
      </c>
      <c r="C45" s="7" t="s">
        <v>10</v>
      </c>
      <c r="D45" s="8" t="s">
        <v>74</v>
      </c>
      <c r="E45" s="9" t="n">
        <v>0</v>
      </c>
      <c r="F45" s="9" t="n">
        <v>0</v>
      </c>
      <c r="G45" s="7" t="s">
        <v>75</v>
      </c>
    </row>
    <row r="46" customFormat="false" ht="31.5" hidden="false" customHeight="true" outlineLevel="0" collapsed="false">
      <c r="A46" s="6" t="n">
        <v>43</v>
      </c>
      <c r="B46" s="7" t="s">
        <v>59</v>
      </c>
      <c r="C46" s="7" t="s">
        <v>10</v>
      </c>
      <c r="D46" s="8" t="s">
        <v>76</v>
      </c>
      <c r="E46" s="9" t="n">
        <v>0</v>
      </c>
      <c r="F46" s="9" t="n">
        <v>0</v>
      </c>
      <c r="G46" s="7" t="s">
        <v>75</v>
      </c>
    </row>
    <row r="47" customFormat="false" ht="34.5" hidden="false" customHeight="true" outlineLevel="0" collapsed="false">
      <c r="A47" s="10" t="s">
        <v>77</v>
      </c>
      <c r="B47" s="10"/>
      <c r="C47" s="10"/>
      <c r="D47" s="10"/>
      <c r="E47" s="11" t="n">
        <f aca="false">SUM(E4:E46)</f>
        <v>765019.93</v>
      </c>
      <c r="F47" s="12" t="n">
        <f aca="false">SUM(F4:F46)</f>
        <v>633008.38</v>
      </c>
      <c r="G47" s="13" t="s">
        <v>78</v>
      </c>
    </row>
    <row r="48" customFormat="false" ht="60" hidden="false" customHeight="true" outlineLevel="0" collapsed="false">
      <c r="A48" s="14" t="s">
        <v>79</v>
      </c>
      <c r="B48" s="14"/>
      <c r="C48" s="14"/>
      <c r="D48" s="14"/>
      <c r="E48" s="14"/>
      <c r="F48" s="14"/>
      <c r="G48" s="14"/>
    </row>
  </sheetData>
  <mergeCells count="3">
    <mergeCell ref="A1:G1"/>
    <mergeCell ref="A47:D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2026-07-02T03:08:00Z</dcterms:created>
  <dc:creator>drama</dc:creator>
  <dc:description/>
  <dc:language>en-US</dc:language>
  <cp:lastModifiedBy>瑾炎</cp:lastModifiedBy>
  <dcterms:modified xsi:type="dcterms:W3CDTF">2026-10-19T03:59:06Z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079D9B9A6C1E4E8BBFE924A8CD2069C7_13</vt:lpwstr>
  </property>
  <property fmtid="{D5CDD505-2E9C-101B-9397-08002B2CF9AE}" pid="4" name="KSOProductBuildVer">
    <vt:lpwstr>2052-12.1.0.28802</vt:lpwstr>
  </property>
</Properties>
</file>
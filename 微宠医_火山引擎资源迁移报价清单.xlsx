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drawings/drawing_wm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<sst xmlns="http://schemas.openxmlformats.org/spreadsheetml/2006/main" count="136" uniqueCount="72">
  <si>
    <t xml:space="preserve">火山引擎报价参考（微宠医）</t>
  </si>
  <si>
    <t xml:space="preserve">报价时间</t>
  </si>
  <si>
    <t xml:space="preserve">序号</t>
  </si>
  <si>
    <t xml:space="preserve">产品</t>
  </si>
  <si>
    <t xml:space="preserve">地域</t>
  </si>
  <si>
    <t xml:space="preserve">配置</t>
  </si>
  <si>
    <r>
      <rPr>
        <b val="true"/>
        <sz val="11"/>
        <color theme="1"/>
        <rFont val="Noto Sans CJK SC"/>
        <family val="2"/>
      </rPr>
      <t xml:space="preserve">官网目录价</t>
    </r>
    <r>
      <rPr>
        <b val="true"/>
        <sz val="11"/>
        <color theme="1"/>
        <rFont val="微软雅黑"/>
        <family val="0"/>
        <charset val="134"/>
      </rPr>
      <t xml:space="preserve">/</t>
    </r>
    <r>
      <rPr>
        <b val="true"/>
        <sz val="11"/>
        <color theme="1"/>
        <rFont val="Noto Sans CJK SC"/>
        <family val="2"/>
      </rPr>
      <t xml:space="preserve">年</t>
    </r>
  </si>
  <si>
    <r>
      <rPr>
        <b val="true"/>
        <sz val="11"/>
        <color theme="1"/>
        <rFont val="Noto Sans CJK SC"/>
        <family val="2"/>
      </rPr>
      <t xml:space="preserve">官网刊例价</t>
    </r>
    <r>
      <rPr>
        <b val="true"/>
        <sz val="11"/>
        <color theme="1"/>
        <rFont val="微软雅黑"/>
        <family val="0"/>
        <charset val="134"/>
      </rPr>
      <t xml:space="preserve">/</t>
    </r>
    <r>
      <rPr>
        <b val="true"/>
        <sz val="11"/>
        <color theme="1"/>
        <rFont val="Noto Sans CJK SC"/>
        <family val="2"/>
      </rPr>
      <t xml:space="preserve">年</t>
    </r>
  </si>
  <si>
    <t xml:space="preserve">备注</t>
  </si>
  <si>
    <t xml:space="preserve">云服务器</t>
  </si>
  <si>
    <t xml:space="preserve">上海</t>
  </si>
  <si>
    <r>
      <rPr>
        <sz val="12"/>
        <color theme="1"/>
        <rFont val="Noto Sans CJK SC"/>
        <family val="2"/>
      </rPr>
      <t xml:space="preserve">实例规格：</t>
    </r>
    <r>
      <rPr>
        <sz val="12"/>
        <color theme="1"/>
        <rFont val="宋体"/>
        <family val="0"/>
        <charset val="134"/>
      </rPr>
      <t xml:space="preserve">ecs.g3a.4xlarge
16 vCPU | 64 GiB
</t>
    </r>
    <r>
      <rPr>
        <sz val="12"/>
        <color theme="1"/>
        <rFont val="Noto Sans CJK SC"/>
        <family val="2"/>
      </rPr>
      <t xml:space="preserve">数量：</t>
    </r>
    <r>
      <rPr>
        <sz val="12"/>
        <color theme="1"/>
        <rFont val="宋体"/>
        <family val="0"/>
        <charset val="134"/>
      </rPr>
      <t xml:space="preserve">7 </t>
    </r>
    <r>
      <rPr>
        <sz val="12"/>
        <color theme="1"/>
        <rFont val="Noto Sans CJK SC"/>
        <family val="2"/>
      </rPr>
      <t xml:space="preserve">台</t>
    </r>
  </si>
  <si>
    <r>
      <rPr>
        <sz val="12"/>
        <color theme="1"/>
        <rFont val="Noto Sans CJK SC"/>
        <family val="2"/>
      </rPr>
      <t xml:space="preserve">包年包月（含 </t>
    </r>
    <r>
      <rPr>
        <sz val="12"/>
        <color theme="1"/>
        <rFont val="宋体"/>
        <family val="0"/>
        <charset val="134"/>
      </rPr>
      <t xml:space="preserve">starRocks/TiDB/TiKV </t>
    </r>
    <r>
      <rPr>
        <sz val="12"/>
        <color theme="1"/>
        <rFont val="Noto Sans CJK SC"/>
        <family val="2"/>
      </rPr>
      <t xml:space="preserve">集群节点）</t>
    </r>
  </si>
  <si>
    <r>
      <rPr>
        <sz val="12"/>
        <color theme="1"/>
        <rFont val="Noto Sans CJK SC"/>
        <family val="2"/>
      </rPr>
      <t xml:space="preserve">实例规格：</t>
    </r>
    <r>
      <rPr>
        <sz val="12"/>
        <color theme="1"/>
        <rFont val="宋体"/>
        <family val="0"/>
        <charset val="134"/>
      </rPr>
      <t xml:space="preserve">ecs.r3a.4xlarge
16 vCPU | 128 GiB
</t>
    </r>
    <r>
      <rPr>
        <sz val="12"/>
        <color theme="1"/>
        <rFont val="Noto Sans CJK SC"/>
        <family val="2"/>
      </rPr>
      <t xml:space="preserve">数量：</t>
    </r>
    <r>
      <rPr>
        <sz val="12"/>
        <color theme="1"/>
        <rFont val="宋体"/>
        <family val="0"/>
        <charset val="134"/>
      </rPr>
      <t xml:space="preserve">5 </t>
    </r>
    <r>
      <rPr>
        <sz val="12"/>
        <color theme="1"/>
        <rFont val="Noto Sans CJK SC"/>
        <family val="2"/>
      </rPr>
      <t xml:space="preserve">台</t>
    </r>
  </si>
  <si>
    <r>
      <rPr>
        <sz val="12"/>
        <color theme="1"/>
        <rFont val="Noto Sans CJK SC"/>
        <family val="2"/>
      </rPr>
      <t xml:space="preserve">包年包月（</t>
    </r>
    <r>
      <rPr>
        <sz val="12"/>
        <color theme="1"/>
        <rFont val="宋体"/>
        <family val="0"/>
        <charset val="134"/>
      </rPr>
      <t xml:space="preserve">prod-node</t>
    </r>
    <r>
      <rPr>
        <sz val="12"/>
        <color theme="1"/>
        <rFont val="Noto Sans CJK SC"/>
        <family val="2"/>
      </rPr>
      <t xml:space="preserve">）</t>
    </r>
  </si>
  <si>
    <r>
      <rPr>
        <sz val="12"/>
        <color theme="1"/>
        <rFont val="Noto Sans CJK SC"/>
        <family val="2"/>
      </rPr>
      <t xml:space="preserve">实例规格：</t>
    </r>
    <r>
      <rPr>
        <sz val="12"/>
        <color theme="1"/>
        <rFont val="宋体"/>
        <family val="0"/>
        <charset val="134"/>
      </rPr>
      <t xml:space="preserve">ecs.r3a.2xlarge
8 vCPU | 64 GiB
</t>
    </r>
    <r>
      <rPr>
        <sz val="12"/>
        <color theme="1"/>
        <rFont val="Noto Sans CJK SC"/>
        <family val="2"/>
      </rPr>
      <t xml:space="preserve">数量：</t>
    </r>
    <r>
      <rPr>
        <sz val="12"/>
        <color theme="1"/>
        <rFont val="宋体"/>
        <family val="0"/>
        <charset val="134"/>
      </rPr>
      <t xml:space="preserve">3 </t>
    </r>
    <r>
      <rPr>
        <sz val="12"/>
        <color theme="1"/>
        <rFont val="Noto Sans CJK SC"/>
        <family val="2"/>
      </rPr>
      <t xml:space="preserve">台</t>
    </r>
  </si>
  <si>
    <t xml:space="preserve">包年包月（容器节点）</t>
  </si>
  <si>
    <r>
      <rPr>
        <sz val="12"/>
        <color theme="1"/>
        <rFont val="Noto Sans CJK SC"/>
        <family val="2"/>
      </rPr>
      <t xml:space="preserve">实例规格：</t>
    </r>
    <r>
      <rPr>
        <sz val="12"/>
        <color theme="1"/>
        <rFont val="宋体"/>
        <family val="0"/>
        <charset val="134"/>
      </rPr>
      <t xml:space="preserve">ecs.r4i.xlarge
4 vCPU | 32 GiB
</t>
    </r>
    <r>
      <rPr>
        <sz val="12"/>
        <color theme="1"/>
        <rFont val="Noto Sans CJK SC"/>
        <family val="2"/>
      </rPr>
      <t xml:space="preserve">数量：</t>
    </r>
    <r>
      <rPr>
        <sz val="12"/>
        <color theme="1"/>
        <rFont val="宋体"/>
        <family val="0"/>
        <charset val="134"/>
      </rPr>
      <t xml:space="preserve">2 </t>
    </r>
    <r>
      <rPr>
        <sz val="12"/>
        <color theme="1"/>
        <rFont val="Noto Sans CJK SC"/>
        <family val="2"/>
      </rPr>
      <t xml:space="preserve">台</t>
    </r>
  </si>
  <si>
    <t xml:space="preserve">数据待核：清单中该规格官网包年价高于目录价年化，以实际下单为准</t>
  </si>
  <si>
    <r>
      <rPr>
        <sz val="12"/>
        <color theme="1"/>
        <rFont val="Noto Sans CJK SC"/>
        <family val="2"/>
      </rPr>
      <t xml:space="preserve">实例规格：</t>
    </r>
    <r>
      <rPr>
        <sz val="12"/>
        <color theme="1"/>
        <rFont val="宋体"/>
        <family val="0"/>
        <charset val="134"/>
      </rPr>
      <t xml:space="preserve">ecs.r3a.xlarge
4 vCPU | 32 GiB
</t>
    </r>
    <r>
      <rPr>
        <sz val="12"/>
        <color theme="1"/>
        <rFont val="Noto Sans CJK SC"/>
        <family val="2"/>
      </rPr>
      <t xml:space="preserve">数量：</t>
    </r>
    <r>
      <rPr>
        <sz val="12"/>
        <color theme="1"/>
        <rFont val="宋体"/>
        <family val="0"/>
        <charset val="134"/>
      </rPr>
      <t xml:space="preserve">1 </t>
    </r>
    <r>
      <rPr>
        <sz val="12"/>
        <color theme="1"/>
        <rFont val="Noto Sans CJK SC"/>
        <family val="2"/>
      </rPr>
      <t xml:space="preserve">台</t>
    </r>
  </si>
  <si>
    <t xml:space="preserve">包年包月</t>
  </si>
  <si>
    <r>
      <rPr>
        <sz val="12"/>
        <color theme="1"/>
        <rFont val="Noto Sans CJK SC"/>
        <family val="2"/>
      </rPr>
      <t xml:space="preserve">实例规格：</t>
    </r>
    <r>
      <rPr>
        <sz val="12"/>
        <color theme="1"/>
        <rFont val="宋体"/>
        <family val="0"/>
        <charset val="134"/>
      </rPr>
      <t xml:space="preserve">ecs.g3a.xlarge
4 vCPU | 16 GiB
</t>
    </r>
    <r>
      <rPr>
        <sz val="12"/>
        <color theme="1"/>
        <rFont val="Noto Sans CJK SC"/>
        <family val="2"/>
      </rPr>
      <t xml:space="preserve">数量：</t>
    </r>
    <r>
      <rPr>
        <sz val="12"/>
        <color theme="1"/>
        <rFont val="宋体"/>
        <family val="0"/>
        <charset val="134"/>
      </rPr>
      <t xml:space="preserve">2 </t>
    </r>
    <r>
      <rPr>
        <sz val="12"/>
        <color theme="1"/>
        <rFont val="Noto Sans CJK SC"/>
        <family val="2"/>
      </rPr>
      <t xml:space="preserve">台</t>
    </r>
  </si>
  <si>
    <r>
      <rPr>
        <sz val="12"/>
        <color theme="1"/>
        <rFont val="Noto Sans CJK SC"/>
        <family val="2"/>
      </rPr>
      <t xml:space="preserve">实例规格：</t>
    </r>
    <r>
      <rPr>
        <sz val="12"/>
        <color theme="1"/>
        <rFont val="宋体"/>
        <family val="0"/>
        <charset val="134"/>
      </rPr>
      <t xml:space="preserve">ecs.g3a.2xlarge
8 vCPU | 32 GiB
</t>
    </r>
    <r>
      <rPr>
        <sz val="12"/>
        <color theme="1"/>
        <rFont val="Noto Sans CJK SC"/>
        <family val="2"/>
      </rPr>
      <t xml:space="preserve">数量：</t>
    </r>
    <r>
      <rPr>
        <sz val="12"/>
        <color theme="1"/>
        <rFont val="宋体"/>
        <family val="0"/>
        <charset val="134"/>
      </rPr>
      <t xml:space="preserve">1 </t>
    </r>
    <r>
      <rPr>
        <sz val="12"/>
        <color theme="1"/>
        <rFont val="Noto Sans CJK SC"/>
        <family val="2"/>
      </rPr>
      <t xml:space="preserve">台</t>
    </r>
  </si>
  <si>
    <r>
      <rPr>
        <sz val="12"/>
        <color theme="1"/>
        <rFont val="Noto Sans CJK SC"/>
        <family val="2"/>
      </rPr>
      <t xml:space="preserve">实例规格：</t>
    </r>
    <r>
      <rPr>
        <sz val="12"/>
        <color theme="1"/>
        <rFont val="宋体"/>
        <family val="0"/>
        <charset val="134"/>
      </rPr>
      <t xml:space="preserve">ecs.r3a.large
2 vCPU | 16 GiB
</t>
    </r>
    <r>
      <rPr>
        <sz val="12"/>
        <color theme="1"/>
        <rFont val="Noto Sans CJK SC"/>
        <family val="2"/>
      </rPr>
      <t xml:space="preserve">数量：</t>
    </r>
    <r>
      <rPr>
        <sz val="12"/>
        <color theme="1"/>
        <rFont val="宋体"/>
        <family val="0"/>
        <charset val="134"/>
      </rPr>
      <t xml:space="preserve">1 </t>
    </r>
    <r>
      <rPr>
        <sz val="12"/>
        <color theme="1"/>
        <rFont val="Noto Sans CJK SC"/>
        <family val="2"/>
      </rPr>
      <t xml:space="preserve">台</t>
    </r>
  </si>
  <si>
    <r>
      <rPr>
        <sz val="12"/>
        <color theme="1"/>
        <rFont val="Noto Sans CJK SC"/>
        <family val="2"/>
      </rPr>
      <t xml:space="preserve">实例规格：</t>
    </r>
    <r>
      <rPr>
        <sz val="12"/>
        <color theme="1"/>
        <rFont val="宋体"/>
        <family val="0"/>
        <charset val="134"/>
      </rPr>
      <t xml:space="preserve">ecs.g3a.large
2 vCPU | 8 GiB
</t>
    </r>
    <r>
      <rPr>
        <sz val="12"/>
        <color theme="1"/>
        <rFont val="Noto Sans CJK SC"/>
        <family val="2"/>
      </rPr>
      <t xml:space="preserve">数量：</t>
    </r>
    <r>
      <rPr>
        <sz val="12"/>
        <color theme="1"/>
        <rFont val="宋体"/>
        <family val="0"/>
        <charset val="134"/>
      </rPr>
      <t xml:space="preserve">1 </t>
    </r>
    <r>
      <rPr>
        <sz val="12"/>
        <color theme="1"/>
        <rFont val="Noto Sans CJK SC"/>
        <family val="2"/>
      </rPr>
      <t xml:space="preserve">台</t>
    </r>
  </si>
  <si>
    <t xml:space="preserve">弹性块存储</t>
  </si>
  <si>
    <r>
      <rPr>
        <sz val="12"/>
        <color theme="1"/>
        <rFont val="Noto Sans CJK SC"/>
        <family val="2"/>
      </rPr>
      <t xml:space="preserve">系统盘：极速型</t>
    </r>
    <r>
      <rPr>
        <sz val="12"/>
        <color theme="1"/>
        <rFont val="宋体"/>
        <family val="0"/>
        <charset val="134"/>
      </rPr>
      <t xml:space="preserve">SSD PL0
</t>
    </r>
    <r>
      <rPr>
        <sz val="12"/>
        <color theme="1"/>
        <rFont val="Noto Sans CJK SC"/>
        <family val="2"/>
      </rPr>
      <t xml:space="preserve">合计容量：</t>
    </r>
    <r>
      <rPr>
        <sz val="12"/>
        <color theme="1"/>
        <rFont val="宋体"/>
        <family val="0"/>
        <charset val="134"/>
      </rPr>
      <t xml:space="preserve">900 GiB</t>
    </r>
    <r>
      <rPr>
        <sz val="12"/>
        <color theme="1"/>
        <rFont val="Noto Sans CJK SC"/>
        <family val="2"/>
      </rPr>
      <t xml:space="preserve">（</t>
    </r>
    <r>
      <rPr>
        <sz val="12"/>
        <color theme="1"/>
        <rFont val="宋体"/>
        <family val="0"/>
        <charset val="134"/>
      </rPr>
      <t xml:space="preserve">40 GiB×22 + 20 GiB×1</t>
    </r>
    <r>
      <rPr>
        <sz val="12"/>
        <color theme="1"/>
        <rFont val="Noto Sans CJK SC"/>
        <family val="2"/>
      </rPr>
      <t xml:space="preserve">）</t>
    </r>
  </si>
  <si>
    <t xml:space="preserve">包年包月；无官网包年价，按目录价列示</t>
  </si>
  <si>
    <r>
      <rPr>
        <sz val="12"/>
        <color theme="1"/>
        <rFont val="Noto Sans CJK SC"/>
        <family val="2"/>
      </rPr>
      <t xml:space="preserve">数据盘：极速型</t>
    </r>
    <r>
      <rPr>
        <sz val="12"/>
        <color theme="1"/>
        <rFont val="宋体"/>
        <family val="0"/>
        <charset val="134"/>
      </rPr>
      <t xml:space="preserve">SSD PL0
</t>
    </r>
    <r>
      <rPr>
        <sz val="12"/>
        <color theme="1"/>
        <rFont val="Noto Sans CJK SC"/>
        <family val="2"/>
      </rPr>
      <t xml:space="preserve">合计容量：</t>
    </r>
    <r>
      <rPr>
        <sz val="12"/>
        <color theme="1"/>
        <rFont val="宋体"/>
        <family val="0"/>
        <charset val="134"/>
      </rPr>
      <t xml:space="preserve">11044 GiB</t>
    </r>
  </si>
  <si>
    <r>
      <rPr>
        <sz val="12"/>
        <color theme="1"/>
        <rFont val="Noto Sans CJK SC"/>
        <family val="2"/>
      </rPr>
      <t xml:space="preserve">云数据库 </t>
    </r>
    <r>
      <rPr>
        <sz val="12"/>
        <color theme="1"/>
        <rFont val="宋体"/>
        <family val="0"/>
        <charset val="134"/>
      </rPr>
      <t xml:space="preserve">MySQL </t>
    </r>
    <r>
      <rPr>
        <sz val="12"/>
        <color theme="1"/>
        <rFont val="Noto Sans CJK SC"/>
        <family val="2"/>
      </rPr>
      <t xml:space="preserve">版</t>
    </r>
  </si>
  <si>
    <r>
      <rPr>
        <sz val="12"/>
        <color theme="1"/>
        <rFont val="Noto Sans CJK SC"/>
        <family val="2"/>
      </rPr>
      <t xml:space="preserve">本地盘版</t>
    </r>
    <r>
      <rPr>
        <sz val="12"/>
        <color theme="1"/>
        <rFont val="宋体"/>
        <family val="0"/>
        <charset val="134"/>
      </rPr>
      <t xml:space="preserve">-</t>
    </r>
    <r>
      <rPr>
        <sz val="12"/>
        <color theme="1"/>
        <rFont val="Noto Sans CJK SC"/>
        <family val="2"/>
      </rPr>
      <t xml:space="preserve">独享规格
规格：</t>
    </r>
    <r>
      <rPr>
        <sz val="12"/>
        <color theme="1"/>
        <rFont val="宋体"/>
        <family val="0"/>
        <charset val="134"/>
      </rPr>
      <t xml:space="preserve">8C32G×2 + 16C64G×2</t>
    </r>
    <r>
      <rPr>
        <sz val="12"/>
        <color theme="1"/>
        <rFont val="Noto Sans CJK SC"/>
        <family val="2"/>
      </rPr>
      <t xml:space="preserve">（主备）
存储：</t>
    </r>
    <r>
      <rPr>
        <sz val="12"/>
        <color theme="1"/>
        <rFont val="宋体"/>
        <family val="0"/>
        <charset val="134"/>
      </rPr>
      <t xml:space="preserve">LocalSSD 3000 GiB</t>
    </r>
  </si>
  <si>
    <t xml:space="preserve">包年包月（含代理，代理费按量另计）</t>
  </si>
  <si>
    <r>
      <rPr>
        <sz val="12"/>
        <color theme="1"/>
        <rFont val="Noto Sans CJK SC"/>
        <family val="2"/>
      </rPr>
      <t xml:space="preserve">文档数据库 </t>
    </r>
    <r>
      <rPr>
        <sz val="12"/>
        <color theme="1"/>
        <rFont val="宋体"/>
        <family val="0"/>
        <charset val="134"/>
      </rPr>
      <t xml:space="preserve">MongoDB </t>
    </r>
    <r>
      <rPr>
        <sz val="12"/>
        <color theme="1"/>
        <rFont val="Noto Sans CJK SC"/>
        <family val="2"/>
      </rPr>
      <t xml:space="preserve">版</t>
    </r>
  </si>
  <si>
    <r>
      <rPr>
        <sz val="12"/>
        <color theme="1"/>
        <rFont val="Noto Sans CJK SC"/>
        <family val="2"/>
      </rPr>
      <t xml:space="preserve">副本集 </t>
    </r>
    <r>
      <rPr>
        <sz val="12"/>
        <color theme="1"/>
        <rFont val="宋体"/>
        <family val="0"/>
        <charset val="134"/>
      </rPr>
      <t xml:space="preserve">4</t>
    </r>
    <r>
      <rPr>
        <sz val="12"/>
        <color theme="1"/>
        <rFont val="Noto Sans CJK SC"/>
        <family val="2"/>
      </rPr>
      <t xml:space="preserve">核</t>
    </r>
    <r>
      <rPr>
        <sz val="12"/>
        <color theme="1"/>
        <rFont val="宋体"/>
        <family val="0"/>
        <charset val="134"/>
      </rPr>
      <t xml:space="preserve">16GB×2</t>
    </r>
    <r>
      <rPr>
        <sz val="12"/>
        <color theme="1"/>
        <rFont val="Noto Sans CJK SC"/>
        <family val="2"/>
      </rPr>
      <t xml:space="preserve">（</t>
    </r>
    <r>
      <rPr>
        <sz val="12"/>
        <color theme="1"/>
        <rFont val="宋体"/>
        <family val="0"/>
        <charset val="134"/>
      </rPr>
      <t xml:space="preserve">3 </t>
    </r>
    <r>
      <rPr>
        <sz val="12"/>
        <color theme="1"/>
        <rFont val="Noto Sans CJK SC"/>
        <family val="2"/>
      </rPr>
      <t xml:space="preserve">节点）
存储空间：</t>
    </r>
    <r>
      <rPr>
        <sz val="12"/>
        <color theme="1"/>
        <rFont val="宋体"/>
        <family val="0"/>
        <charset val="134"/>
      </rPr>
      <t xml:space="preserve">600 GiB</t>
    </r>
  </si>
  <si>
    <r>
      <rPr>
        <sz val="12"/>
        <color theme="1"/>
        <rFont val="Noto Sans CJK SC"/>
        <family val="2"/>
      </rPr>
      <t xml:space="preserve">消息队列 </t>
    </r>
    <r>
      <rPr>
        <sz val="12"/>
        <color theme="1"/>
        <rFont val="宋体"/>
        <family val="0"/>
        <charset val="134"/>
      </rPr>
      <t xml:space="preserve">RocketMQ </t>
    </r>
    <r>
      <rPr>
        <sz val="12"/>
        <color theme="1"/>
        <rFont val="Noto Sans CJK SC"/>
        <family val="2"/>
      </rPr>
      <t xml:space="preserve">版</t>
    </r>
  </si>
  <si>
    <r>
      <rPr>
        <sz val="12"/>
        <color theme="1"/>
        <rFont val="Noto Sans CJK SC"/>
        <family val="2"/>
      </rPr>
      <t xml:space="preserve">标准版：</t>
    </r>
    <r>
      <rPr>
        <sz val="12"/>
        <color theme="1"/>
        <rFont val="宋体"/>
        <family val="0"/>
        <charset val="134"/>
      </rPr>
      <t xml:space="preserve">rocketmq.n1.x2.tiny
</t>
    </r>
    <r>
      <rPr>
        <sz val="12"/>
        <color theme="1"/>
        <rFont val="Noto Sans CJK SC"/>
        <family val="2"/>
      </rPr>
      <t xml:space="preserve">高速存储：</t>
    </r>
    <r>
      <rPr>
        <sz val="12"/>
        <color theme="1"/>
        <rFont val="宋体"/>
        <family val="0"/>
        <charset val="134"/>
      </rPr>
      <t xml:space="preserve">800 GiB</t>
    </r>
  </si>
  <si>
    <r>
      <rPr>
        <sz val="12"/>
        <color theme="1"/>
        <rFont val="Noto Sans CJK SC"/>
        <family val="2"/>
      </rPr>
      <t xml:space="preserve">消息队列 </t>
    </r>
    <r>
      <rPr>
        <sz val="12"/>
        <color theme="1"/>
        <rFont val="宋体"/>
        <family val="0"/>
        <charset val="134"/>
      </rPr>
      <t xml:space="preserve">Kafka </t>
    </r>
    <r>
      <rPr>
        <sz val="12"/>
        <color theme="1"/>
        <rFont val="Noto Sans CJK SC"/>
        <family val="2"/>
      </rPr>
      <t xml:space="preserve">版</t>
    </r>
  </si>
  <si>
    <r>
      <rPr>
        <sz val="12"/>
        <color theme="1"/>
        <rFont val="Noto Sans CJK SC"/>
        <family val="2"/>
      </rPr>
      <t xml:space="preserve">标准版：</t>
    </r>
    <r>
      <rPr>
        <sz val="12"/>
        <color theme="1"/>
        <rFont val="宋体"/>
        <family val="0"/>
        <charset val="134"/>
      </rPr>
      <t xml:space="preserve">kafka.20xrate.hw
</t>
    </r>
    <r>
      <rPr>
        <sz val="12"/>
        <color theme="1"/>
        <rFont val="Noto Sans CJK SC"/>
        <family val="2"/>
      </rPr>
      <t xml:space="preserve">高速存储：</t>
    </r>
    <r>
      <rPr>
        <sz val="12"/>
        <color theme="1"/>
        <rFont val="宋体"/>
        <family val="0"/>
        <charset val="134"/>
      </rPr>
      <t xml:space="preserve">900 GiB</t>
    </r>
  </si>
  <si>
    <r>
      <rPr>
        <sz val="12"/>
        <color theme="1"/>
        <rFont val="Noto Sans CJK SC"/>
        <family val="2"/>
      </rPr>
      <t xml:space="preserve">缓存数据库 </t>
    </r>
    <r>
      <rPr>
        <sz val="12"/>
        <color theme="1"/>
        <rFont val="宋体"/>
        <family val="0"/>
        <charset val="134"/>
      </rPr>
      <t xml:space="preserve">Redis </t>
    </r>
    <r>
      <rPr>
        <sz val="12"/>
        <color theme="1"/>
        <rFont val="Noto Sans CJK SC"/>
        <family val="2"/>
      </rPr>
      <t xml:space="preserve">版</t>
    </r>
  </si>
  <si>
    <r>
      <rPr>
        <sz val="12"/>
        <color theme="1"/>
        <rFont val="Noto Sans CJK SC"/>
        <family val="2"/>
      </rPr>
      <t xml:space="preserve">分片集群（包月）
规格合计：</t>
    </r>
    <r>
      <rPr>
        <sz val="12"/>
        <color theme="1"/>
        <rFont val="宋体"/>
        <family val="0"/>
        <charset val="134"/>
      </rPr>
      <t xml:space="preserve">8 GiB</t>
    </r>
    <r>
      <rPr>
        <sz val="12"/>
        <color theme="1"/>
        <rFont val="Noto Sans CJK SC"/>
        <family val="2"/>
      </rPr>
      <t xml:space="preserve">（</t>
    </r>
    <r>
      <rPr>
        <sz val="12"/>
        <color theme="1"/>
        <rFont val="宋体"/>
        <family val="0"/>
        <charset val="134"/>
      </rPr>
      <t xml:space="preserve">account 2 + app 4 + label 2</t>
    </r>
    <r>
      <rPr>
        <sz val="12"/>
        <color theme="1"/>
        <rFont val="Noto Sans CJK SC"/>
        <family val="2"/>
      </rPr>
      <t xml:space="preserve">）</t>
    </r>
  </si>
  <si>
    <t xml:space="preserve">云堡垒机</t>
  </si>
  <si>
    <r>
      <rPr>
        <sz val="12"/>
        <color theme="1"/>
        <rFont val="宋体"/>
        <family val="0"/>
        <charset val="134"/>
      </rPr>
      <t xml:space="preserve">20 </t>
    </r>
    <r>
      <rPr>
        <sz val="12"/>
        <color theme="1"/>
        <rFont val="Noto Sans CJK SC"/>
        <family val="2"/>
      </rPr>
      <t xml:space="preserve">资产实例
</t>
    </r>
    <r>
      <rPr>
        <sz val="12"/>
        <color theme="1"/>
        <rFont val="宋体"/>
        <family val="0"/>
        <charset val="134"/>
      </rPr>
      <t xml:space="preserve">+ </t>
    </r>
    <r>
      <rPr>
        <sz val="12"/>
        <color theme="1"/>
        <rFont val="Noto Sans CJK SC"/>
        <family val="2"/>
      </rPr>
      <t xml:space="preserve">数据库资产扩展包</t>
    </r>
  </si>
  <si>
    <r>
      <rPr>
        <sz val="12"/>
        <color theme="1"/>
        <rFont val="宋体"/>
        <family val="0"/>
        <charset val="134"/>
      </rPr>
      <t xml:space="preserve">Web </t>
    </r>
    <r>
      <rPr>
        <sz val="12"/>
        <color theme="1"/>
        <rFont val="Noto Sans CJK SC"/>
        <family val="2"/>
      </rPr>
      <t xml:space="preserve">应用防火墙</t>
    </r>
  </si>
  <si>
    <t xml:space="preserve">国内通用</t>
  </si>
  <si>
    <r>
      <rPr>
        <sz val="12"/>
        <color theme="1"/>
        <rFont val="Noto Sans CJK SC"/>
        <family val="2"/>
      </rPr>
      <t xml:space="preserve">云 </t>
    </r>
    <r>
      <rPr>
        <sz val="12"/>
        <color theme="1"/>
        <rFont val="宋体"/>
        <family val="0"/>
        <charset val="134"/>
      </rPr>
      <t xml:space="preserve">WAF </t>
    </r>
    <r>
      <rPr>
        <sz val="12"/>
        <color theme="1"/>
        <rFont val="Noto Sans CJK SC"/>
        <family val="2"/>
      </rPr>
      <t xml:space="preserve">基础版实例
</t>
    </r>
    <r>
      <rPr>
        <sz val="12"/>
        <color theme="1"/>
        <rFont val="宋体"/>
        <family val="0"/>
        <charset val="134"/>
      </rPr>
      <t xml:space="preserve">+ </t>
    </r>
    <r>
      <rPr>
        <sz val="12"/>
        <color theme="1"/>
        <rFont val="Noto Sans CJK SC"/>
        <family val="2"/>
      </rPr>
      <t xml:space="preserve">访问日志 </t>
    </r>
    <r>
      <rPr>
        <sz val="12"/>
        <color theme="1"/>
        <rFont val="宋体"/>
        <family val="0"/>
        <charset val="134"/>
      </rPr>
      <t xml:space="preserve">1 TiB</t>
    </r>
  </si>
  <si>
    <r>
      <rPr>
        <sz val="12"/>
        <color theme="1"/>
        <rFont val="宋体"/>
        <family val="0"/>
        <charset val="134"/>
      </rPr>
      <t xml:space="preserve">NAT </t>
    </r>
    <r>
      <rPr>
        <sz val="12"/>
        <color theme="1"/>
        <rFont val="Noto Sans CJK SC"/>
        <family val="2"/>
      </rPr>
      <t xml:space="preserve">网关</t>
    </r>
  </si>
  <si>
    <r>
      <rPr>
        <sz val="12"/>
        <color theme="1"/>
        <rFont val="Noto Sans CJK SC"/>
        <family val="2"/>
      </rPr>
      <t xml:space="preserve">规格配置费</t>
    </r>
    <r>
      <rPr>
        <sz val="12"/>
        <color theme="1"/>
        <rFont val="宋体"/>
        <family val="0"/>
        <charset val="134"/>
      </rPr>
      <t xml:space="preserve">-</t>
    </r>
    <r>
      <rPr>
        <sz val="12"/>
        <color theme="1"/>
        <rFont val="Noto Sans CJK SC"/>
        <family val="2"/>
      </rPr>
      <t xml:space="preserve">包月（小型）</t>
    </r>
  </si>
  <si>
    <t xml:space="preserve">负载均衡</t>
  </si>
  <si>
    <r>
      <rPr>
        <sz val="12"/>
        <color theme="1"/>
        <rFont val="宋体"/>
        <family val="0"/>
        <charset val="134"/>
      </rPr>
      <t xml:space="preserve">CLB-uat-private</t>
    </r>
    <r>
      <rPr>
        <sz val="12"/>
        <color theme="1"/>
        <rFont val="Noto Sans CJK SC"/>
        <family val="2"/>
      </rPr>
      <t xml:space="preserve">（小型 </t>
    </r>
    <r>
      <rPr>
        <sz val="12"/>
        <color theme="1"/>
        <rFont val="宋体"/>
        <family val="0"/>
        <charset val="134"/>
      </rPr>
      <t xml:space="preserve">I</t>
    </r>
    <r>
      <rPr>
        <sz val="12"/>
        <color theme="1"/>
        <rFont val="Noto Sans CJK SC"/>
        <family val="2"/>
      </rPr>
      <t xml:space="preserve">）
</t>
    </r>
    <r>
      <rPr>
        <sz val="12"/>
        <color theme="1"/>
        <rFont val="宋体"/>
        <family val="0"/>
        <charset val="134"/>
      </rPr>
      <t xml:space="preserve">+ CLB-wcy-prod-private</t>
    </r>
    <r>
      <rPr>
        <sz val="12"/>
        <color theme="1"/>
        <rFont val="Noto Sans CJK SC"/>
        <family val="2"/>
      </rPr>
      <t xml:space="preserve">（小型 </t>
    </r>
    <r>
      <rPr>
        <sz val="12"/>
        <color theme="1"/>
        <rFont val="宋体"/>
        <family val="0"/>
        <charset val="134"/>
      </rPr>
      <t xml:space="preserve">II</t>
    </r>
    <r>
      <rPr>
        <sz val="12"/>
        <color theme="1"/>
        <rFont val="Noto Sans CJK SC"/>
        <family val="2"/>
      </rPr>
      <t xml:space="preserve">）
包月实例费 </t>
    </r>
    <r>
      <rPr>
        <sz val="12"/>
        <color theme="1"/>
        <rFont val="宋体"/>
        <family val="0"/>
        <charset val="134"/>
      </rPr>
      <t xml:space="preserve">+ </t>
    </r>
    <r>
      <rPr>
        <sz val="12"/>
        <color theme="1"/>
        <rFont val="Noto Sans CJK SC"/>
        <family val="2"/>
      </rPr>
      <t xml:space="preserve">规格配置费</t>
    </r>
  </si>
  <si>
    <t xml:space="preserve">数据库传输服务</t>
  </si>
  <si>
    <r>
      <rPr>
        <sz val="12"/>
        <color theme="1"/>
        <rFont val="Noto Sans CJK SC"/>
        <family val="2"/>
      </rPr>
      <t xml:space="preserve">数据订阅</t>
    </r>
    <r>
      <rPr>
        <sz val="12"/>
        <color theme="1"/>
        <rFont val="宋体"/>
        <family val="0"/>
        <charset val="134"/>
      </rPr>
      <t xml:space="preserve">-</t>
    </r>
    <r>
      <rPr>
        <sz val="12"/>
        <color theme="1"/>
        <rFont val="Noto Sans CJK SC"/>
        <family val="2"/>
      </rPr>
      <t xml:space="preserve">配置费用（包月）</t>
    </r>
  </si>
  <si>
    <t xml:space="preserve">镜像仓库</t>
  </si>
  <si>
    <r>
      <rPr>
        <sz val="12"/>
        <color theme="1"/>
        <rFont val="Noto Sans CJK SC"/>
        <family val="2"/>
      </rPr>
      <t xml:space="preserve">镜像仓库</t>
    </r>
    <r>
      <rPr>
        <sz val="12"/>
        <color theme="1"/>
        <rFont val="宋体"/>
        <family val="0"/>
        <charset val="134"/>
      </rPr>
      <t xml:space="preserve">-</t>
    </r>
    <r>
      <rPr>
        <sz val="12"/>
        <color theme="1"/>
        <rFont val="Noto Sans CJK SC"/>
        <family val="2"/>
      </rPr>
      <t xml:space="preserve">小微版 实例（包月）</t>
    </r>
  </si>
  <si>
    <r>
      <rPr>
        <sz val="12"/>
        <color theme="1"/>
        <rFont val="Noto Sans CJK SC"/>
        <family val="2"/>
      </rPr>
      <t xml:space="preserve">容器服务</t>
    </r>
    <r>
      <rPr>
        <sz val="12"/>
        <color theme="1"/>
        <rFont val="宋体"/>
        <family val="0"/>
        <charset val="134"/>
      </rPr>
      <t xml:space="preserve">-</t>
    </r>
    <r>
      <rPr>
        <sz val="12"/>
        <color theme="1"/>
        <rFont val="Noto Sans CJK SC"/>
        <family val="2"/>
      </rPr>
      <t xml:space="preserve">托管版</t>
    </r>
  </si>
  <si>
    <r>
      <rPr>
        <sz val="12"/>
        <color theme="1"/>
        <rFont val="Noto Sans CJK SC"/>
        <family val="2"/>
      </rPr>
      <t xml:space="preserve">容器服务托管版（</t>
    </r>
    <r>
      <rPr>
        <sz val="12"/>
        <color theme="1"/>
        <rFont val="宋体"/>
        <family val="0"/>
        <charset val="134"/>
      </rPr>
      <t xml:space="preserve">VKE</t>
    </r>
    <r>
      <rPr>
        <sz val="12"/>
        <color theme="1"/>
        <rFont val="Noto Sans CJK SC"/>
        <family val="2"/>
      </rPr>
      <t xml:space="preserve">）
</t>
    </r>
    <r>
      <rPr>
        <sz val="12"/>
        <color theme="1"/>
        <rFont val="宋体"/>
        <family val="0"/>
        <charset val="134"/>
      </rPr>
      <t xml:space="preserve">wcy-prod + wcy-test </t>
    </r>
    <r>
      <rPr>
        <sz val="12"/>
        <color theme="1"/>
        <rFont val="Noto Sans CJK SC"/>
        <family val="2"/>
      </rPr>
      <t xml:space="preserve">集群</t>
    </r>
  </si>
  <si>
    <t xml:space="preserve">按量计费（按当前月用量年化参考）</t>
  </si>
  <si>
    <r>
      <rPr>
        <sz val="12"/>
        <color theme="1"/>
        <rFont val="Noto Sans CJK SC"/>
        <family val="2"/>
      </rPr>
      <t xml:space="preserve">数据库代理</t>
    </r>
    <r>
      <rPr>
        <sz val="12"/>
        <color theme="1"/>
        <rFont val="宋体"/>
        <family val="0"/>
        <charset val="134"/>
      </rPr>
      <t xml:space="preserve">-</t>
    </r>
    <r>
      <rPr>
        <sz val="12"/>
        <color theme="1"/>
        <rFont val="Noto Sans CJK SC"/>
        <family val="2"/>
      </rPr>
      <t xml:space="preserve">标准规格（按量核时）
</t>
    </r>
    <r>
      <rPr>
        <sz val="12"/>
        <color theme="1"/>
        <rFont val="宋体"/>
        <family val="0"/>
        <charset val="134"/>
      </rPr>
      <t xml:space="preserve">wcy-prod-mysql-ext / -rds</t>
    </r>
  </si>
  <si>
    <r>
      <rPr>
        <sz val="12"/>
        <color theme="1"/>
        <rFont val="Noto Sans CJK SC"/>
        <family val="2"/>
      </rPr>
      <t xml:space="preserve">托管 </t>
    </r>
    <r>
      <rPr>
        <sz val="12"/>
        <color theme="1"/>
        <rFont val="宋体"/>
        <family val="0"/>
        <charset val="134"/>
      </rPr>
      <t xml:space="preserve">Prometheus</t>
    </r>
  </si>
  <si>
    <r>
      <rPr>
        <sz val="12"/>
        <color theme="1"/>
        <rFont val="Noto Sans CJK SC"/>
        <family val="2"/>
      </rPr>
      <t xml:space="preserve">标准版</t>
    </r>
    <r>
      <rPr>
        <sz val="12"/>
        <color theme="1"/>
        <rFont val="宋体"/>
        <family val="0"/>
        <charset val="134"/>
      </rPr>
      <t xml:space="preserve">-15 </t>
    </r>
    <r>
      <rPr>
        <sz val="12"/>
        <color theme="1"/>
        <rFont val="Noto Sans CJK SC"/>
        <family val="2"/>
      </rPr>
      <t xml:space="preserve">天
自定义指标写入量</t>
    </r>
  </si>
  <si>
    <r>
      <rPr>
        <sz val="12"/>
        <color theme="1"/>
        <rFont val="宋体"/>
        <family val="0"/>
        <charset val="134"/>
      </rPr>
      <t xml:space="preserve">CLB-uat-public / CLB-wcy-pro-public</t>
    </r>
    <r>
      <rPr>
        <sz val="12"/>
        <color theme="1"/>
        <rFont val="Noto Sans CJK SC"/>
        <family val="2"/>
      </rPr>
      <t xml:space="preserve">（小型 </t>
    </r>
    <r>
      <rPr>
        <sz val="12"/>
        <color theme="1"/>
        <rFont val="宋体"/>
        <family val="0"/>
        <charset val="134"/>
      </rPr>
      <t xml:space="preserve">I</t>
    </r>
    <r>
      <rPr>
        <sz val="12"/>
        <color theme="1"/>
        <rFont val="Noto Sans CJK SC"/>
        <family val="2"/>
      </rPr>
      <t xml:space="preserve">）
</t>
    </r>
    <r>
      <rPr>
        <sz val="12"/>
        <color theme="1"/>
        <rFont val="宋体"/>
        <family val="0"/>
        <charset val="134"/>
      </rPr>
      <t xml:space="preserve">+ apiserver-lb-internal</t>
    </r>
    <r>
      <rPr>
        <sz val="12"/>
        <color theme="1"/>
        <rFont val="Noto Sans CJK SC"/>
        <family val="2"/>
      </rPr>
      <t xml:space="preserve">（小型 </t>
    </r>
    <r>
      <rPr>
        <sz val="12"/>
        <color theme="1"/>
        <rFont val="宋体"/>
        <family val="0"/>
        <charset val="134"/>
      </rPr>
      <t xml:space="preserve">II</t>
    </r>
    <r>
      <rPr>
        <sz val="12"/>
        <color theme="1"/>
        <rFont val="Noto Sans CJK SC"/>
        <family val="2"/>
      </rPr>
      <t xml:space="preserve">），按量</t>
    </r>
  </si>
  <si>
    <t xml:space="preserve">对象存储</t>
  </si>
  <si>
    <r>
      <rPr>
        <sz val="12"/>
        <color theme="1"/>
        <rFont val="Noto Sans CJK SC"/>
        <family val="2"/>
      </rPr>
      <t xml:space="preserve">标准 </t>
    </r>
    <r>
      <rPr>
        <sz val="12"/>
        <color theme="1"/>
        <rFont val="宋体"/>
        <family val="0"/>
        <charset val="134"/>
      </rPr>
      <t xml:space="preserve">+ </t>
    </r>
    <r>
      <rPr>
        <sz val="12"/>
        <color theme="1"/>
        <rFont val="Noto Sans CJK SC"/>
        <family val="2"/>
      </rPr>
      <t xml:space="preserve">低频 存储容量、请求次数、公网流出流量
（含华北</t>
    </r>
    <r>
      <rPr>
        <sz val="12"/>
        <color theme="1"/>
        <rFont val="宋体"/>
        <family val="0"/>
        <charset val="134"/>
      </rPr>
      <t xml:space="preserve">2-</t>
    </r>
    <r>
      <rPr>
        <sz val="12"/>
        <color theme="1"/>
        <rFont val="Noto Sans CJK SC"/>
        <family val="2"/>
      </rPr>
      <t xml:space="preserve">北京低频存储）</t>
    </r>
  </si>
  <si>
    <t xml:space="preserve">日志服务</t>
  </si>
  <si>
    <r>
      <rPr>
        <sz val="12"/>
        <color theme="1"/>
        <rFont val="Noto Sans CJK SC"/>
        <family val="2"/>
      </rPr>
      <t xml:space="preserve">标准版按量
存储 </t>
    </r>
    <r>
      <rPr>
        <sz val="12"/>
        <color theme="1"/>
        <rFont val="宋体"/>
        <family val="0"/>
        <charset val="134"/>
      </rPr>
      <t xml:space="preserve">/ </t>
    </r>
    <r>
      <rPr>
        <sz val="12"/>
        <color theme="1"/>
        <rFont val="Noto Sans CJK SC"/>
        <family val="2"/>
      </rPr>
      <t xml:space="preserve">索引 </t>
    </r>
    <r>
      <rPr>
        <sz val="12"/>
        <color theme="1"/>
        <rFont val="宋体"/>
        <family val="0"/>
        <charset val="134"/>
      </rPr>
      <t xml:space="preserve">/ </t>
    </r>
    <r>
      <rPr>
        <sz val="12"/>
        <color theme="1"/>
        <rFont val="Noto Sans CJK SC"/>
        <family val="2"/>
      </rPr>
      <t xml:space="preserve">写流量 </t>
    </r>
    <r>
      <rPr>
        <sz val="12"/>
        <color theme="1"/>
        <rFont val="宋体"/>
        <family val="0"/>
        <charset val="134"/>
      </rPr>
      <t xml:space="preserve">/ API </t>
    </r>
    <r>
      <rPr>
        <sz val="12"/>
        <color theme="1"/>
        <rFont val="Noto Sans CJK SC"/>
        <family val="2"/>
      </rPr>
      <t xml:space="preserve">调用</t>
    </r>
  </si>
  <si>
    <t xml:space="preserve">共享带宽包</t>
  </si>
  <si>
    <r>
      <rPr>
        <sz val="12"/>
        <color theme="1"/>
        <rFont val="宋体"/>
        <family val="0"/>
        <charset val="134"/>
      </rPr>
      <t xml:space="preserve">BGP </t>
    </r>
    <r>
      <rPr>
        <sz val="12"/>
        <color theme="1"/>
        <rFont val="Noto Sans CJK SC"/>
        <family val="2"/>
      </rPr>
      <t xml:space="preserve">按主流量计费</t>
    </r>
  </si>
  <si>
    <r>
      <rPr>
        <sz val="12"/>
        <color theme="1"/>
        <rFont val="Noto Sans CJK SC"/>
        <family val="2"/>
      </rPr>
      <t xml:space="preserve">数据订阅</t>
    </r>
    <r>
      <rPr>
        <sz val="12"/>
        <color theme="1"/>
        <rFont val="宋体"/>
        <family val="0"/>
        <charset val="134"/>
      </rPr>
      <t xml:space="preserve">-</t>
    </r>
    <r>
      <rPr>
        <sz val="12"/>
        <color theme="1"/>
        <rFont val="Noto Sans CJK SC"/>
        <family val="2"/>
      </rPr>
      <t xml:space="preserve">数据流量</t>
    </r>
  </si>
  <si>
    <r>
      <rPr>
        <sz val="12"/>
        <color theme="1"/>
        <rFont val="Noto Sans CJK SC"/>
        <family val="2"/>
      </rPr>
      <t xml:space="preserve">按量计费（当前用量为 </t>
    </r>
    <r>
      <rPr>
        <sz val="12"/>
        <color theme="1"/>
        <rFont val="宋体"/>
        <family val="0"/>
        <charset val="134"/>
      </rPr>
      <t xml:space="preserve">0</t>
    </r>
    <r>
      <rPr>
        <sz val="12"/>
        <color theme="1"/>
        <rFont val="Noto Sans CJK SC"/>
        <family val="2"/>
      </rPr>
      <t xml:space="preserve">）</t>
    </r>
  </si>
  <si>
    <t xml:space="preserve">公网流出流量（累进）</t>
  </si>
  <si>
    <t xml:space="preserve">总计</t>
  </si>
  <si>
    <t xml:space="preserve">注：报价仅供参考，请以实际下单金额为准</t>
  </si>
  <si>
    <r>
      <rPr>
        <sz val="11"/>
        <color theme="1"/>
        <rFont val="Noto Sans CJK SC"/>
        <family val="2"/>
      </rPr>
      <t xml:space="preserve">说明：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Noto Sans CJK SC"/>
        <family val="2"/>
      </rPr>
      <t xml:space="preserve">）官网目录价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宋体"/>
        <family val="0"/>
        <charset val="134"/>
      </rPr>
      <t xml:space="preserve">= </t>
    </r>
    <r>
      <rPr>
        <sz val="11"/>
        <color theme="1"/>
        <rFont val="Noto Sans CJK SC"/>
        <family val="2"/>
      </rPr>
      <t xml:space="preserve">客户清单月度官网目录价 </t>
    </r>
    <r>
      <rPr>
        <sz val="11"/>
        <color theme="1"/>
        <rFont val="宋体"/>
        <family val="0"/>
        <charset val="134"/>
      </rPr>
      <t xml:space="preserve">× 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Noto Sans CJK SC"/>
        <family val="2"/>
      </rPr>
      <t xml:space="preserve">）官网刊例价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宋体"/>
        <family val="0"/>
        <charset val="134"/>
      </rPr>
      <t xml:space="preserve">= </t>
    </r>
    <r>
      <rPr>
        <sz val="11"/>
        <color theme="1"/>
        <rFont val="Noto Sans CJK SC"/>
        <family val="2"/>
      </rPr>
      <t xml:space="preserve">官网包年价（客户清单“官网折扣价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Noto Sans CJK SC"/>
        <family val="2"/>
      </rPr>
      <t xml:space="preserve">年”），弹性块存储与按量计费产品无包年价，按目录价年化列示；</t>
    </r>
    <r>
      <rPr>
        <sz val="11"/>
        <color theme="1"/>
        <rFont val="宋体"/>
        <family val="0"/>
        <charset val="134"/>
      </rPr>
      <t xml:space="preserve">3</t>
    </r>
    <r>
      <rPr>
        <sz val="11"/>
        <color theme="1"/>
        <rFont val="Noto Sans CJK SC"/>
        <family val="2"/>
      </rPr>
      <t xml:space="preserve">）按量计费项目按当前月用量年化，仅作参考；</t>
    </r>
    <r>
      <rPr>
        <sz val="11"/>
        <color theme="1"/>
        <rFont val="宋体"/>
        <family val="0"/>
        <charset val="134"/>
      </rPr>
      <t xml:space="preserve">4</t>
    </r>
    <r>
      <rPr>
        <sz val="11"/>
        <color theme="1"/>
        <rFont val="Noto Sans CJK SC"/>
        <family val="2"/>
      </rPr>
      <t xml:space="preserve">）数据来源：客户《微宠医</t>
    </r>
    <r>
      <rPr>
        <sz val="11"/>
        <color theme="1"/>
        <rFont val="宋体"/>
        <family val="0"/>
        <charset val="134"/>
      </rPr>
      <t xml:space="preserve">_</t>
    </r>
    <r>
      <rPr>
        <sz val="11"/>
        <color theme="1"/>
        <rFont val="Noto Sans CJK SC"/>
        <family val="2"/>
      </rPr>
      <t xml:space="preserve">火山云</t>
    </r>
    <r>
      <rPr>
        <sz val="11"/>
        <color theme="1"/>
        <rFont val="宋体"/>
        <family val="0"/>
        <charset val="134"/>
      </rPr>
      <t xml:space="preserve">_</t>
    </r>
    <r>
      <rPr>
        <sz val="11"/>
        <color theme="1"/>
        <rFont val="Noto Sans CJK SC"/>
        <family val="2"/>
      </rPr>
      <t xml:space="preserve">需求配置清单》；最终以官网实际下单金额为准。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</si>
</sst>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\￥#,##0.00_);[RED]&quot;(￥&quot;#,##0.00\)"/>
  </numFmts>
  <fonts count="1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Noto Sans CJK SC"/>
      <family val="2"/>
    </font>
    <font>
      <sz val="12"/>
      <color theme="1"/>
      <name val="Noto Sans CJK SC"/>
      <family val="2"/>
    </font>
    <font>
      <sz val="12"/>
      <color theme="1"/>
      <name val="宋体"/>
      <family val="0"/>
      <charset val="134"/>
    </font>
    <font>
      <b val="true"/>
      <sz val="11"/>
      <color theme="1"/>
      <name val="Noto Sans CJK SC"/>
      <family val="2"/>
    </font>
    <font>
      <b val="true"/>
      <sz val="11"/>
      <color theme="1"/>
      <name val="微软雅黑"/>
      <family val="0"/>
      <charset val="134"/>
    </font>
    <font>
      <b val="true"/>
      <sz val="12"/>
      <color theme="1"/>
      <name val="微软雅黑"/>
      <family val="0"/>
      <charset val="134"/>
    </font>
    <font>
      <b val="true"/>
      <sz val="12"/>
      <color theme="1"/>
      <name val="Noto Sans CJK SC"/>
      <family val="2"/>
    </font>
    <font>
      <b val="true"/>
      <sz val="12"/>
      <color theme="1"/>
      <name val="宋体"/>
      <family val="0"/>
      <charset val="134"/>
    </font>
    <font>
      <b val="true"/>
      <sz val="11"/>
      <color rgb="FFFF0000"/>
      <name val="Noto Sans CJK SC"/>
      <family val="2"/>
    </font>
    <font>
      <sz val="11"/>
      <color theme="1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8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ck"/>
      <right style="thick"/>
      <top style="thick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xmlns:r="http://schemas.openxmlformats.org/officeDocument/2006/relationships" name="WPS">
  <a:themeElements>
    <a:clrScheme name="WPS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  <a:tileRect l="0" t="0" r="0" b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6" activeCellId="0" sqref="L6"/>
    </sheetView>
  </sheetViews>
  <sheetFormatPr defaultColWidth="8.61328125" defaultRowHeight="13.5" zeroHeight="false" outlineLevelRow="0" outlineLevelCol="0"/>
  <cols>
    <col collapsed="false" customWidth="true" hidden="false" outlineLevel="0" max="1" min="1" style="1" width="7.79"/>
    <col collapsed="false" customWidth="true" hidden="false" outlineLevel="0" max="2" min="2" style="1" width="12.74"/>
    <col collapsed="false" customWidth="true" hidden="false" outlineLevel="0" max="4" min="4" style="1" width="38.84"/>
    <col collapsed="false" customWidth="true" hidden="false" outlineLevel="0" max="6" min="5" style="1" width="22.08"/>
    <col collapsed="false" customWidth="true" hidden="false" outlineLevel="0" max="7" min="7" style="1" width="29.03"/>
  </cols>
  <sheetData>
    <row r="1" customFormat="false" ht="4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36" hidden="false" customHeight="true" outlineLevel="0" collapsed="false">
      <c r="A2" s="3"/>
      <c r="B2" s="3"/>
      <c r="C2" s="3"/>
      <c r="D2" s="3"/>
      <c r="E2" s="3"/>
      <c r="F2" s="4" t="s">
        <v>1</v>
      </c>
      <c r="G2" s="5" t="n">
        <f aca="true">TODAY()</f>
        <v>46314</v>
      </c>
    </row>
    <row r="3" customFormat="false" ht="36" hidden="false" customHeight="true" outlineLevel="0" collapsed="false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</row>
    <row r="4" customFormat="false" ht="42" hidden="false" customHeight="true" outlineLevel="0" collapsed="false">
      <c r="A4" s="7" t="n">
        <v>1</v>
      </c>
      <c r="B4" s="8" t="s">
        <v>9</v>
      </c>
      <c r="C4" s="8" t="s">
        <v>10</v>
      </c>
      <c r="D4" s="9" t="s">
        <v>11</v>
      </c>
      <c r="E4" s="10" t="n">
        <v>141415.68</v>
      </c>
      <c r="F4" s="10" t="n">
        <v>115366.21</v>
      </c>
      <c r="G4" s="8" t="s">
        <v>12</v>
      </c>
    </row>
    <row r="5" customFormat="false" ht="42" hidden="false" customHeight="true" outlineLevel="0" collapsed="false">
      <c r="A5" s="7" t="n">
        <v>2</v>
      </c>
      <c r="B5" s="8" t="s">
        <v>9</v>
      </c>
      <c r="C5" s="8" t="s">
        <v>10</v>
      </c>
      <c r="D5" s="9" t="s">
        <v>13</v>
      </c>
      <c r="E5" s="10" t="n">
        <v>136881.6</v>
      </c>
      <c r="F5" s="10" t="n">
        <v>92211.3</v>
      </c>
      <c r="G5" s="8" t="s">
        <v>14</v>
      </c>
    </row>
    <row r="6" customFormat="false" ht="42" hidden="false" customHeight="true" outlineLevel="0" collapsed="false">
      <c r="A6" s="7" t="n">
        <v>3</v>
      </c>
      <c r="B6" s="8" t="s">
        <v>9</v>
      </c>
      <c r="C6" s="8" t="s">
        <v>10</v>
      </c>
      <c r="D6" s="9" t="s">
        <v>15</v>
      </c>
      <c r="E6" s="10" t="n">
        <v>41064.48</v>
      </c>
      <c r="F6" s="10" t="n">
        <v>29456.19</v>
      </c>
      <c r="G6" s="8" t="s">
        <v>16</v>
      </c>
    </row>
    <row r="7" customFormat="false" ht="42" hidden="false" customHeight="true" outlineLevel="0" collapsed="false">
      <c r="A7" s="7" t="n">
        <v>4</v>
      </c>
      <c r="B7" s="8" t="s">
        <v>9</v>
      </c>
      <c r="C7" s="8" t="s">
        <v>10</v>
      </c>
      <c r="D7" s="9" t="s">
        <v>17</v>
      </c>
      <c r="E7" s="10" t="n">
        <v>14304</v>
      </c>
      <c r="F7" s="10" t="n">
        <v>19608.96</v>
      </c>
      <c r="G7" s="8" t="s">
        <v>18</v>
      </c>
    </row>
    <row r="8" customFormat="false" ht="42" hidden="false" customHeight="true" outlineLevel="0" collapsed="false">
      <c r="A8" s="7" t="n">
        <v>5</v>
      </c>
      <c r="B8" s="8" t="s">
        <v>9</v>
      </c>
      <c r="C8" s="8" t="s">
        <v>10</v>
      </c>
      <c r="D8" s="9" t="s">
        <v>19</v>
      </c>
      <c r="E8" s="10" t="n">
        <v>6844.08</v>
      </c>
      <c r="F8" s="10" t="n">
        <v>6004.97</v>
      </c>
      <c r="G8" s="8" t="s">
        <v>20</v>
      </c>
    </row>
    <row r="9" customFormat="false" ht="42" hidden="false" customHeight="true" outlineLevel="0" collapsed="false">
      <c r="A9" s="7" t="n">
        <v>6</v>
      </c>
      <c r="B9" s="8" t="s">
        <v>9</v>
      </c>
      <c r="C9" s="8" t="s">
        <v>10</v>
      </c>
      <c r="D9" s="9" t="s">
        <v>21</v>
      </c>
      <c r="E9" s="10" t="n">
        <v>10101.12</v>
      </c>
      <c r="F9" s="10" t="n">
        <v>10148.5</v>
      </c>
      <c r="G9" s="8" t="s">
        <v>18</v>
      </c>
    </row>
    <row r="10" customFormat="false" ht="42" hidden="false" customHeight="true" outlineLevel="0" collapsed="false">
      <c r="A10" s="7" t="n">
        <v>7</v>
      </c>
      <c r="B10" s="8" t="s">
        <v>9</v>
      </c>
      <c r="C10" s="8" t="s">
        <v>10</v>
      </c>
      <c r="D10" s="9" t="s">
        <v>22</v>
      </c>
      <c r="E10" s="10" t="n">
        <v>10101.12</v>
      </c>
      <c r="F10" s="10" t="n">
        <v>11044.9</v>
      </c>
      <c r="G10" s="8" t="s">
        <v>18</v>
      </c>
    </row>
    <row r="11" customFormat="false" ht="42" hidden="false" customHeight="true" outlineLevel="0" collapsed="false">
      <c r="A11" s="7" t="n">
        <v>8</v>
      </c>
      <c r="B11" s="8" t="s">
        <v>9</v>
      </c>
      <c r="C11" s="8" t="s">
        <v>10</v>
      </c>
      <c r="D11" s="9" t="s">
        <v>23</v>
      </c>
      <c r="E11" s="10" t="n">
        <v>3422.04</v>
      </c>
      <c r="F11" s="10" t="n">
        <v>3849.08</v>
      </c>
      <c r="G11" s="8" t="s">
        <v>18</v>
      </c>
    </row>
    <row r="12" customFormat="false" ht="42" hidden="false" customHeight="true" outlineLevel="0" collapsed="false">
      <c r="A12" s="7" t="n">
        <v>9</v>
      </c>
      <c r="B12" s="8" t="s">
        <v>9</v>
      </c>
      <c r="C12" s="8" t="s">
        <v>10</v>
      </c>
      <c r="D12" s="9" t="s">
        <v>24</v>
      </c>
      <c r="E12" s="10" t="n">
        <v>2525.28</v>
      </c>
      <c r="F12" s="10" t="n">
        <v>2786.12</v>
      </c>
      <c r="G12" s="8" t="s">
        <v>18</v>
      </c>
    </row>
    <row r="13" customFormat="false" ht="31.5" hidden="false" customHeight="true" outlineLevel="0" collapsed="false">
      <c r="A13" s="7" t="n">
        <v>10</v>
      </c>
      <c r="B13" s="8" t="s">
        <v>25</v>
      </c>
      <c r="C13" s="8" t="s">
        <v>10</v>
      </c>
      <c r="D13" s="9" t="s">
        <v>26</v>
      </c>
      <c r="E13" s="10" t="n">
        <v>5400</v>
      </c>
      <c r="F13" s="10" t="n">
        <v>5400</v>
      </c>
      <c r="G13" s="8" t="s">
        <v>27</v>
      </c>
    </row>
    <row r="14" customFormat="false" ht="31.5" hidden="false" customHeight="true" outlineLevel="0" collapsed="false">
      <c r="A14" s="7" t="n">
        <v>11</v>
      </c>
      <c r="B14" s="8" t="s">
        <v>25</v>
      </c>
      <c r="C14" s="8" t="s">
        <v>10</v>
      </c>
      <c r="D14" s="9" t="s">
        <v>28</v>
      </c>
      <c r="E14" s="10" t="n">
        <v>66264</v>
      </c>
      <c r="F14" s="10" t="n">
        <v>66264</v>
      </c>
      <c r="G14" s="8" t="s">
        <v>27</v>
      </c>
    </row>
    <row r="15" customFormat="false" ht="42" hidden="false" customHeight="true" outlineLevel="0" collapsed="false">
      <c r="A15" s="7" t="n">
        <v>12</v>
      </c>
      <c r="B15" s="8" t="s">
        <v>29</v>
      </c>
      <c r="C15" s="8" t="s">
        <v>10</v>
      </c>
      <c r="D15" s="9" t="s">
        <v>30</v>
      </c>
      <c r="E15" s="10" t="n">
        <v>125280</v>
      </c>
      <c r="F15" s="10" t="n">
        <v>93960</v>
      </c>
      <c r="G15" s="8" t="s">
        <v>31</v>
      </c>
    </row>
    <row r="16" customFormat="false" ht="31.5" hidden="false" customHeight="true" outlineLevel="0" collapsed="false">
      <c r="A16" s="7" t="n">
        <v>13</v>
      </c>
      <c r="B16" s="8" t="s">
        <v>32</v>
      </c>
      <c r="C16" s="8" t="s">
        <v>10</v>
      </c>
      <c r="D16" s="9" t="s">
        <v>33</v>
      </c>
      <c r="E16" s="10" t="n">
        <v>25920</v>
      </c>
      <c r="F16" s="10" t="n">
        <v>19440</v>
      </c>
      <c r="G16" s="8" t="s">
        <v>20</v>
      </c>
    </row>
    <row r="17" customFormat="false" ht="31.5" hidden="false" customHeight="true" outlineLevel="0" collapsed="false">
      <c r="A17" s="7" t="n">
        <v>14</v>
      </c>
      <c r="B17" s="8" t="s">
        <v>34</v>
      </c>
      <c r="C17" s="8" t="s">
        <v>10</v>
      </c>
      <c r="D17" s="9" t="s">
        <v>35</v>
      </c>
      <c r="E17" s="10" t="n">
        <v>28800</v>
      </c>
      <c r="F17" s="10" t="n">
        <v>23904</v>
      </c>
      <c r="G17" s="8" t="s">
        <v>20</v>
      </c>
    </row>
    <row r="18" customFormat="false" ht="31.5" hidden="false" customHeight="true" outlineLevel="0" collapsed="false">
      <c r="A18" s="7" t="n">
        <v>15</v>
      </c>
      <c r="B18" s="8" t="s">
        <v>36</v>
      </c>
      <c r="C18" s="8" t="s">
        <v>10</v>
      </c>
      <c r="D18" s="9" t="s">
        <v>37</v>
      </c>
      <c r="E18" s="10" t="n">
        <v>23478</v>
      </c>
      <c r="F18" s="10" t="n">
        <v>19486.74</v>
      </c>
      <c r="G18" s="8" t="s">
        <v>20</v>
      </c>
    </row>
    <row r="19" customFormat="false" ht="31.5" hidden="false" customHeight="true" outlineLevel="0" collapsed="false">
      <c r="A19" s="7" t="n">
        <v>16</v>
      </c>
      <c r="B19" s="8" t="s">
        <v>38</v>
      </c>
      <c r="C19" s="8" t="s">
        <v>10</v>
      </c>
      <c r="D19" s="9" t="s">
        <v>39</v>
      </c>
      <c r="E19" s="10" t="n">
        <v>5199.72</v>
      </c>
      <c r="F19" s="10" t="n">
        <v>2937.6</v>
      </c>
      <c r="G19" s="8" t="s">
        <v>20</v>
      </c>
    </row>
    <row r="20" customFormat="false" ht="31.5" hidden="false" customHeight="true" outlineLevel="0" collapsed="false">
      <c r="A20" s="7" t="n">
        <v>17</v>
      </c>
      <c r="B20" s="8" t="s">
        <v>40</v>
      </c>
      <c r="C20" s="8" t="s">
        <v>10</v>
      </c>
      <c r="D20" s="11" t="s">
        <v>41</v>
      </c>
      <c r="E20" s="10" t="n">
        <v>28800</v>
      </c>
      <c r="F20" s="10" t="n">
        <v>24480</v>
      </c>
      <c r="G20" s="8" t="s">
        <v>20</v>
      </c>
    </row>
    <row r="21" customFormat="false" ht="31.5" hidden="false" customHeight="true" outlineLevel="0" collapsed="false">
      <c r="A21" s="7" t="n">
        <v>18</v>
      </c>
      <c r="B21" s="12" t="s">
        <v>42</v>
      </c>
      <c r="C21" s="8" t="s">
        <v>43</v>
      </c>
      <c r="D21" s="9" t="s">
        <v>44</v>
      </c>
      <c r="E21" s="10" t="n">
        <v>22920</v>
      </c>
      <c r="F21" s="10" t="n">
        <v>22920</v>
      </c>
      <c r="G21" s="8" t="s">
        <v>20</v>
      </c>
    </row>
    <row r="22" customFormat="false" ht="31.5" hidden="false" customHeight="true" outlineLevel="0" collapsed="false">
      <c r="A22" s="7" t="n">
        <v>19</v>
      </c>
      <c r="B22" s="12" t="s">
        <v>45</v>
      </c>
      <c r="C22" s="8" t="s">
        <v>10</v>
      </c>
      <c r="D22" s="9" t="s">
        <v>46</v>
      </c>
      <c r="E22" s="10" t="n">
        <v>3672</v>
      </c>
      <c r="F22" s="10" t="n">
        <v>3121.2</v>
      </c>
      <c r="G22" s="8" t="s">
        <v>20</v>
      </c>
    </row>
    <row r="23" customFormat="false" ht="42" hidden="false" customHeight="true" outlineLevel="0" collapsed="false">
      <c r="A23" s="7" t="n">
        <v>20</v>
      </c>
      <c r="B23" s="8" t="s">
        <v>47</v>
      </c>
      <c r="C23" s="8" t="s">
        <v>10</v>
      </c>
      <c r="D23" s="11" t="s">
        <v>48</v>
      </c>
      <c r="E23" s="10" t="n">
        <v>2916</v>
      </c>
      <c r="F23" s="10" t="n">
        <v>2478.6</v>
      </c>
      <c r="G23" s="8" t="s">
        <v>20</v>
      </c>
    </row>
    <row r="24" customFormat="false" ht="31.5" hidden="false" customHeight="true" outlineLevel="0" collapsed="false">
      <c r="A24" s="7" t="n">
        <v>21</v>
      </c>
      <c r="B24" s="8" t="s">
        <v>49</v>
      </c>
      <c r="C24" s="8" t="s">
        <v>10</v>
      </c>
      <c r="D24" s="9" t="s">
        <v>50</v>
      </c>
      <c r="E24" s="10" t="n">
        <v>8640</v>
      </c>
      <c r="F24" s="10" t="n">
        <v>7171.2</v>
      </c>
      <c r="G24" s="8" t="s">
        <v>20</v>
      </c>
    </row>
    <row r="25" customFormat="false" ht="31.5" hidden="false" customHeight="true" outlineLevel="0" collapsed="false">
      <c r="A25" s="7" t="n">
        <v>22</v>
      </c>
      <c r="B25" s="8" t="s">
        <v>51</v>
      </c>
      <c r="C25" s="8" t="s">
        <v>10</v>
      </c>
      <c r="D25" s="9" t="s">
        <v>52</v>
      </c>
      <c r="E25" s="10" t="n">
        <v>600</v>
      </c>
      <c r="F25" s="10" t="n">
        <v>498</v>
      </c>
      <c r="G25" s="8" t="s">
        <v>20</v>
      </c>
    </row>
    <row r="26" customFormat="false" ht="31.5" hidden="false" customHeight="true" outlineLevel="0" collapsed="false">
      <c r="A26" s="7" t="n">
        <v>23</v>
      </c>
      <c r="B26" s="8" t="s">
        <v>53</v>
      </c>
      <c r="C26" s="8" t="s">
        <v>10</v>
      </c>
      <c r="D26" s="9" t="s">
        <v>54</v>
      </c>
      <c r="E26" s="10" t="n">
        <v>10713.6</v>
      </c>
      <c r="F26" s="10" t="n">
        <v>10713.6</v>
      </c>
      <c r="G26" s="8" t="s">
        <v>55</v>
      </c>
    </row>
    <row r="27" customFormat="false" ht="31.5" hidden="false" customHeight="true" outlineLevel="0" collapsed="false">
      <c r="A27" s="7" t="n">
        <v>24</v>
      </c>
      <c r="B27" s="8" t="s">
        <v>29</v>
      </c>
      <c r="C27" s="8" t="s">
        <v>10</v>
      </c>
      <c r="D27" s="9" t="s">
        <v>56</v>
      </c>
      <c r="E27" s="10" t="n">
        <v>15641.86</v>
      </c>
      <c r="F27" s="10" t="n">
        <v>15641.86</v>
      </c>
      <c r="G27" s="8" t="s">
        <v>55</v>
      </c>
    </row>
    <row r="28" customFormat="false" ht="31.5" hidden="false" customHeight="true" outlineLevel="0" collapsed="false">
      <c r="A28" s="7" t="n">
        <v>25</v>
      </c>
      <c r="B28" s="8" t="s">
        <v>57</v>
      </c>
      <c r="C28" s="8" t="s">
        <v>10</v>
      </c>
      <c r="D28" s="9" t="s">
        <v>58</v>
      </c>
      <c r="E28" s="10" t="n">
        <v>12769.77</v>
      </c>
      <c r="F28" s="10" t="n">
        <v>12769.77</v>
      </c>
      <c r="G28" s="8" t="s">
        <v>55</v>
      </c>
    </row>
    <row r="29" customFormat="false" ht="31.5" hidden="false" customHeight="true" outlineLevel="0" collapsed="false">
      <c r="A29" s="7" t="n">
        <v>26</v>
      </c>
      <c r="B29" s="8" t="s">
        <v>47</v>
      </c>
      <c r="C29" s="8" t="s">
        <v>10</v>
      </c>
      <c r="D29" s="11" t="s">
        <v>59</v>
      </c>
      <c r="E29" s="10" t="n">
        <v>8035.2</v>
      </c>
      <c r="F29" s="10" t="n">
        <v>8035.2</v>
      </c>
      <c r="G29" s="8" t="s">
        <v>55</v>
      </c>
    </row>
    <row r="30" customFormat="false" ht="31.5" hidden="false" customHeight="true" outlineLevel="0" collapsed="false">
      <c r="A30" s="7" t="n">
        <v>27</v>
      </c>
      <c r="B30" s="8" t="s">
        <v>60</v>
      </c>
      <c r="C30" s="8" t="s">
        <v>10</v>
      </c>
      <c r="D30" s="9" t="s">
        <v>61</v>
      </c>
      <c r="E30" s="10" t="n">
        <v>1778.68</v>
      </c>
      <c r="F30" s="10" t="n">
        <v>1778.68</v>
      </c>
      <c r="G30" s="8" t="s">
        <v>55</v>
      </c>
    </row>
    <row r="31" customFormat="false" ht="31.5" hidden="false" customHeight="true" outlineLevel="0" collapsed="false">
      <c r="A31" s="7" t="n">
        <v>28</v>
      </c>
      <c r="B31" s="8" t="s">
        <v>62</v>
      </c>
      <c r="C31" s="8" t="s">
        <v>10</v>
      </c>
      <c r="D31" s="9" t="s">
        <v>63</v>
      </c>
      <c r="E31" s="10" t="n">
        <v>1166.26</v>
      </c>
      <c r="F31" s="10" t="n">
        <v>1166.26</v>
      </c>
      <c r="G31" s="8" t="s">
        <v>55</v>
      </c>
    </row>
    <row r="32" customFormat="false" ht="31.5" hidden="false" customHeight="true" outlineLevel="0" collapsed="false">
      <c r="A32" s="7" t="n">
        <v>29</v>
      </c>
      <c r="B32" s="8" t="s">
        <v>64</v>
      </c>
      <c r="C32" s="8" t="s">
        <v>10</v>
      </c>
      <c r="D32" s="11" t="s">
        <v>65</v>
      </c>
      <c r="E32" s="10" t="n">
        <v>365.44</v>
      </c>
      <c r="F32" s="10" t="n">
        <v>365.44</v>
      </c>
      <c r="G32" s="8" t="s">
        <v>55</v>
      </c>
    </row>
    <row r="33" customFormat="false" ht="31.5" hidden="false" customHeight="true" outlineLevel="0" collapsed="false">
      <c r="A33" s="7" t="n">
        <v>30</v>
      </c>
      <c r="B33" s="8" t="s">
        <v>49</v>
      </c>
      <c r="C33" s="8" t="s">
        <v>10</v>
      </c>
      <c r="D33" s="9" t="s">
        <v>66</v>
      </c>
      <c r="E33" s="10" t="n">
        <v>0</v>
      </c>
      <c r="F33" s="10" t="n">
        <v>0</v>
      </c>
      <c r="G33" s="8" t="s">
        <v>67</v>
      </c>
    </row>
    <row r="34" customFormat="false" ht="31.5" hidden="false" customHeight="true" outlineLevel="0" collapsed="false">
      <c r="A34" s="7" t="n">
        <v>31</v>
      </c>
      <c r="B34" s="8" t="s">
        <v>51</v>
      </c>
      <c r="C34" s="8" t="s">
        <v>10</v>
      </c>
      <c r="D34" s="9" t="s">
        <v>68</v>
      </c>
      <c r="E34" s="10" t="n">
        <v>0</v>
      </c>
      <c r="F34" s="10" t="n">
        <v>0</v>
      </c>
      <c r="G34" s="8" t="s">
        <v>67</v>
      </c>
    </row>
    <row r="35" customFormat="false" ht="34.5" hidden="false" customHeight="true" outlineLevel="0" collapsed="false">
      <c r="A35" s="13" t="s">
        <v>69</v>
      </c>
      <c r="B35" s="13"/>
      <c r="C35" s="13"/>
      <c r="D35" s="13"/>
      <c r="E35" s="14" t="n">
        <f aca="false">SUM(E4:E34)</f>
        <v>765019.93</v>
      </c>
      <c r="F35" s="15" t="n">
        <f aca="false">SUM(F4:F34)</f>
        <v>633008.38</v>
      </c>
      <c r="G35" s="16" t="s">
        <v>70</v>
      </c>
    </row>
    <row r="36" customFormat="false" ht="45" hidden="false" customHeight="true" outlineLevel="0" collapsed="false">
      <c r="A36" s="17" t="s">
        <v>71</v>
      </c>
      <c r="B36" s="17"/>
      <c r="C36" s="17"/>
      <c r="D36" s="17"/>
      <c r="E36" s="17"/>
      <c r="F36" s="17"/>
      <c r="G36" s="17"/>
    </row>
  </sheetData>
  <mergeCells count="3">
    <mergeCell ref="A1:G1"/>
    <mergeCell ref="A35:D35"/>
    <mergeCell ref="A36:G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2026-07-02T03:08:00Z</dcterms:created>
  <dc:creator>drama</dc:creator>
  <dc:description/>
  <dc:language>en-US</dc:language>
  <cp:lastModifiedBy>瑾炎</cp:lastModifiedBy>
  <dcterms:modified xsi:type="dcterms:W3CDTF">2026-10-19T03:45:03Z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1</vt:i4>
  </property>
  <property fmtid="{D5CDD505-2E9C-101B-9397-08002B2CF9AE}" pid="3" name="ICV">
    <vt:lpwstr>079D9B9A6C1E4E8BBFE924A8CD2069C7_13</vt:lpwstr>
  </property>
  <property fmtid="{D5CDD505-2E9C-101B-9397-08002B2CF9AE}" pid="4" name="KSOProductBuildVer">
    <vt:lpwstr>2052-12.1.0.28802</vt:lpwstr>
  </property>
</Properties>
</file>
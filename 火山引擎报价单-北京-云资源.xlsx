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865" windowHeight="1323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5" borderId="8" applyAlignment="1">
      <alignment vertical="center"/>
    </xf>
    <xf numFmtId="0" fontId="16" fillId="6" borderId="9" applyAlignment="1">
      <alignment vertical="center"/>
    </xf>
    <xf numFmtId="0" fontId="17" fillId="6" borderId="8" applyAlignment="1">
      <alignment vertical="center"/>
    </xf>
    <xf numFmtId="0" fontId="18" fillId="7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4"/>
  <sheetViews>
    <sheetView tabSelected="1" workbookViewId="0">
      <selection activeCell="L6" sqref="L6"/>
    </sheetView>
  </sheetViews>
  <sheetFormatPr baseColWidth="8" defaultColWidth="8.61261261261261" defaultRowHeight="14.1"/>
  <cols>
    <col width="7.79279279279279" customWidth="1" style="19" min="1" max="1"/>
    <col width="12.7387387387387" customWidth="1" style="19" min="2" max="2"/>
    <col width="38.8378378378378" customWidth="1" style="19" min="4" max="4"/>
    <col width="22.0810810810811" customWidth="1" style="19" min="5" max="6"/>
    <col width="29.027027027027" customWidth="1" style="19" min="7" max="7"/>
  </cols>
  <sheetData>
    <row r="1" ht="46" customHeight="1" s="19">
      <c r="A1" s="2" t="inlineStr">
        <is>
          <t>火山引擎报价参考</t>
        </is>
      </c>
      <c r="B1" s="20" t="n"/>
      <c r="C1" s="20" t="n"/>
      <c r="D1" s="20" t="n"/>
      <c r="E1" s="20" t="n"/>
      <c r="F1" s="20" t="n"/>
      <c r="G1" s="21" t="n"/>
    </row>
    <row r="2" ht="36" customHeight="1" s="19">
      <c r="A2" s="3" t="n"/>
      <c r="B2" s="3" t="n"/>
      <c r="C2" s="3" t="n"/>
      <c r="D2" s="3" t="n"/>
      <c r="E2" s="3" t="n"/>
      <c r="F2" s="3" t="inlineStr">
        <is>
          <t>报价时间</t>
        </is>
      </c>
      <c r="G2" s="4">
        <f>TODAY()</f>
        <v>46324</v>
        <v/>
      </c>
    </row>
    <row r="3" ht="36" customHeight="1" s="19">
      <c r="A3" s="5" t="inlineStr">
        <is>
          <t>序号</t>
        </is>
      </c>
      <c r="B3" s="5" t="inlineStr">
        <is>
          <t>产品</t>
        </is>
      </c>
      <c r="C3" s="5" t="inlineStr">
        <is>
          <t>地域</t>
        </is>
      </c>
      <c r="D3" s="5" t="inlineStr">
        <is>
          <t>配置</t>
        </is>
      </c>
      <c r="E3" s="5" t="inlineStr">
        <is>
          <t>官网目录价/年</t>
        </is>
      </c>
      <c r="F3" s="5" t="inlineStr">
        <is>
          <t>官网刊例价/年</t>
        </is>
      </c>
      <c r="G3" s="5" t="inlineStr">
        <is>
          <t>备注</t>
        </is>
      </c>
    </row>
    <row r="4" ht="174" customHeight="1" s="19">
      <c r="A4" s="6" t="n">
        <v>1</v>
      </c>
      <c r="B4" s="10" t="inlineStr">
        <is>
          <t>云服务器</t>
        </is>
      </c>
      <c r="C4" s="10" t="inlineStr">
        <is>
          <t>北京</t>
        </is>
      </c>
      <c r="D4" s="8" t="inlineStr">
        <is>
          <t>计费类型：包年包月
地域：华北2（北京）
实例规格族：通用型 g4i
实例规格：ecs.g4i.xlarge（4 vCPU / 16 GiB）
镜像：公共镜像（免费）
系统盘：极速型SSD PL0 50 GiB
数据盘：无
公网IP：不分配
购买时长：1 年
数量：1 台</t>
        </is>
      </c>
      <c r="E4" s="22">
        <f>3635.88+2040.12</f>
        <v>5676</v>
        <v/>
      </c>
      <c r="F4" s="22" t="n">
        <v>3635.88</v>
      </c>
      <c r="G4" s="10" t="n"/>
    </row>
    <row r="5" ht="174" customHeight="1" s="19">
      <c r="A5" s="6" t="n">
        <v>2</v>
      </c>
      <c r="B5" s="10" t="inlineStr">
        <is>
          <t>云服务器</t>
        </is>
      </c>
      <c r="C5" s="10" t="inlineStr">
        <is>
          <t>北京</t>
        </is>
      </c>
      <c r="D5" s="8" t="inlineStr">
        <is>
          <t>计费类型：包年包月
地域：华北2（北京）
实例规格族：通用型 g4i
实例规格：ecs.g4i.2xlarge（8 vCPU / 32 GiB）
镜像：公共镜像（免费）
系统盘：极速型SSD PL0 60 GiB
数据盘：无
公网IP：不分配
购买时长：1 年
数量：1 台</t>
        </is>
      </c>
      <c r="E5" s="22">
        <f>7072.56+4039.44</f>
        <v>11112</v>
        <v/>
      </c>
      <c r="F5" s="22" t="n">
        <v>7072.56</v>
      </c>
      <c r="G5" s="10" t="n"/>
    </row>
    <row r="6" ht="226.2" customHeight="1" s="19">
      <c r="A6" s="6" t="n">
        <v>3</v>
      </c>
      <c r="B6" s="10" t="inlineStr">
        <is>
          <t>负载均衡CLB</t>
        </is>
      </c>
      <c r="C6" s="10" t="inlineStr">
        <is>
          <t>北京</t>
        </is>
      </c>
      <c r="D6" s="8" t="inlineStr">
        <is>
          <t>计费类型：包年包月
地域：华北2（北京）
网络类型：公网
规格：小型I（small_1）
最大连接数：10000
新建连接数：2000 CPS
每秒查询数：2000 QPS
带宽：200 Mbps
实例费：0 元/个/月
规格配置费：54 元/个/月
公网地址：按实际流量计费（0.8 元/GB，随量结算）
购买时长：1 年
数量：1 个</t>
        </is>
      </c>
      <c r="E6" s="22">
        <f>550.8+97.2</f>
        <v>648</v>
        <v/>
      </c>
      <c r="F6" s="22" t="n">
        <v>550.8</v>
      </c>
      <c r="G6" s="10" t="n"/>
    </row>
    <row r="7" ht="191.4" customHeight="1" s="19">
      <c r="A7" s="6" t="n">
        <v>4</v>
      </c>
      <c r="B7" s="10" t="inlineStr">
        <is>
          <t>云数据库MySQL</t>
        </is>
      </c>
      <c r="C7" s="10" t="inlineStr">
        <is>
          <t>北京</t>
        </is>
      </c>
      <c r="D7" s="8" t="inlineStr">
        <is>
          <t>计费类型：包年包月（未开自动续费）
地域：华北2（北京）
兼容版本：MySQL
实例类型：双节点（一主一备）
规格类型：通用规格
节点规格：2 核 4 GiB（rds.mysql.d1.n.2c4g）
存储类型：本地 SSD
存储空间：100 GiB
节点数量：2
购买时长：1 年
数量：1 个</t>
        </is>
      </c>
      <c r="E7" s="22">
        <f>3660+1860</f>
        <v>5520</v>
        <v/>
      </c>
      <c r="F7" s="22" t="n">
        <v>3660</v>
      </c>
      <c r="G7" s="10" t="n"/>
    </row>
    <row r="8" ht="226.2" customHeight="1" s="19">
      <c r="A8" s="6" t="n">
        <v>5</v>
      </c>
      <c r="B8" s="10" t="inlineStr">
        <is>
          <t>缓存数据库Redis</t>
        </is>
      </c>
      <c r="C8" s="10" t="inlineStr">
        <is>
          <t>北京</t>
        </is>
      </c>
      <c r="D8" s="8" t="inlineStr">
        <is>
          <t>计费类型：包年包月
地域：华北2（北京）
数据库版本：Redis 7.0
实例类型：主备（基础版）
分片集群：启用
分片数量：2
单分片内存规格：1 GiB
每分片节点数：2
可用内存：2 GiB
默认带宽：48 MB/s
额外带宽：否
购买时长：1 年
数量：1 个</t>
        </is>
      </c>
      <c r="E8" s="22">
        <f>1468.8+691.2</f>
        <v>2160</v>
        <v/>
      </c>
      <c r="F8" s="22" t="n">
        <v>1468.8</v>
      </c>
      <c r="G8" s="10" t="n"/>
    </row>
    <row r="9" ht="87" customHeight="1" s="19">
      <c r="A9" s="6" t="n">
        <v>6</v>
      </c>
      <c r="B9" s="10" t="inlineStr">
        <is>
          <t>对象存储TOS</t>
        </is>
      </c>
      <c r="C9" s="10" t="inlineStr">
        <is>
          <t>北京</t>
        </is>
      </c>
      <c r="D9" s="8" t="inlineStr">
        <is>
          <t>计费方式：按量计费
存储类型：标准存储
存储容量：按实际占用计费，无固定容量档位
单价：0.099 元/GiB/月（存储）、0.5 元/GB（公网流出）
说明：按实际用量出账，本报价不预估金额</t>
        </is>
      </c>
      <c r="E9" s="22">
        <f>0+0</f>
        <v>0</v>
        <v/>
      </c>
      <c r="F9" s="22" t="n">
        <v>0</v>
      </c>
      <c r="G9" s="10" t="n"/>
    </row>
    <row r="10" ht="69.59999999999999" customHeight="1" s="19">
      <c r="A10" s="6" t="n">
        <v>7</v>
      </c>
      <c r="B10" s="10" t="inlineStr">
        <is>
          <t>视频点播VOD</t>
        </is>
      </c>
      <c r="C10" s="10" t="inlineStr">
        <is>
          <t>北京</t>
        </is>
      </c>
      <c r="D10" s="8" t="inlineStr">
        <is>
          <t>计费方式：按量计费
计费项：按处理量与存储量计费
无固定机器规格
说明：按实际用量出账，本报价不预估金额</t>
        </is>
      </c>
      <c r="E10" s="22">
        <f>0+0</f>
        <v>0</v>
        <v/>
      </c>
      <c r="F10" s="22" t="n">
        <v>0</v>
      </c>
      <c r="G10" s="10" t="n"/>
    </row>
    <row r="11" ht="52.2" customHeight="1" s="19">
      <c r="A11" s="6" t="n">
        <v>8</v>
      </c>
      <c r="B11" s="10" t="inlineStr">
        <is>
          <t>方舟模型Ark</t>
        </is>
      </c>
      <c r="C11" s="10" t="inlineStr">
        <is>
          <t>北京</t>
        </is>
      </c>
      <c r="D11" s="8" t="inlineStr">
        <is>
          <t>计费方式：按调用计费（按 tokens 用量）
模型：以实际调用模型为准
说明：按实际用量出账，本报价不预估金额</t>
        </is>
      </c>
      <c r="E11" s="22">
        <f>0+0</f>
        <v>0</v>
        <v/>
      </c>
      <c r="F11" s="22" t="n">
        <v>0</v>
      </c>
      <c r="G11" s="10" t="n"/>
    </row>
    <row r="12" ht="52.2" customHeight="1" s="19">
      <c r="A12" s="6" t="n">
        <v>9</v>
      </c>
      <c r="B12" s="10" t="inlineStr">
        <is>
          <t>短信</t>
        </is>
      </c>
      <c r="C12" s="10" t="inlineStr">
        <is>
          <t>北京</t>
        </is>
      </c>
      <c r="D12" s="8" t="inlineStr">
        <is>
          <t>计费方式：按条计费
无机器规格
说明：按实际发送条数出账，本报价不预估金额</t>
        </is>
      </c>
      <c r="E12" s="22">
        <f>0+0</f>
        <v>0</v>
        <v/>
      </c>
      <c r="F12" s="22" t="n">
        <v>0</v>
      </c>
      <c r="G12" s="10" t="n"/>
    </row>
    <row r="13" ht="52.2" customHeight="1" s="19">
      <c r="A13" s="6" t="n">
        <v>10</v>
      </c>
      <c r="B13" s="10" t="inlineStr">
        <is>
          <t>专有网络VPC</t>
        </is>
      </c>
      <c r="C13" s="10" t="inlineStr">
        <is>
          <t>北京</t>
        </is>
      </c>
      <c r="D13" s="8" t="inlineStr">
        <is>
          <t>计费方式：随资源（不单独计费）
网段：192.168.192.0/18
说明：VPC 本身免费，仅其关联资源计费</t>
        </is>
      </c>
      <c r="E13" s="22">
        <f>0+0</f>
        <v>0</v>
        <v/>
      </c>
      <c r="F13" s="22" t="n">
        <v>0</v>
      </c>
      <c r="G13" s="10" t="n"/>
    </row>
    <row r="14" ht="35" customHeight="1" s="19">
      <c r="A14" s="23" t="inlineStr">
        <is>
          <t>总计</t>
        </is>
      </c>
      <c r="B14" s="20" t="n"/>
      <c r="C14" s="20" t="n"/>
      <c r="D14" s="21" t="n"/>
      <c r="E14" s="24">
        <f>SUM(E4:E13)</f>
        <v>25116</v>
        <v/>
      </c>
      <c r="F14" s="25">
        <f>SUM(F4:F13)</f>
        <v>16388.04</v>
        <v/>
      </c>
      <c r="G14" s="26" t="inlineStr">
        <is>
          <t>注：报价仅供参考，请以实际下单金额为准</t>
        </is>
      </c>
    </row>
  </sheetData>
  <mergeCells count="2">
    <mergeCell ref="A1:G1"/>
    <mergeCell ref="A14:D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drama</dc:creator>
  <dcterms:created xmlns:dcterms="http://purl.org/dc/terms/" xmlns:xsi="http://www.w3.org/2001/XMLSchema-instance" xsi:type="dcterms:W3CDTF">2026-07-02T03:08:24Z</dcterms:created>
  <dcterms:modified xmlns:dcterms="http://purl.org/dc/terms/" xmlns:xsi="http://www.w3.org/2001/XMLSchema-instance" xsi:type="dcterms:W3CDTF">2026-10-29T04:03:19Z</dcterms:modified>
  <cp:lastModifiedBy>瑾炎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DB9BF8F751F847CCAFB7AA77EE4D0902_11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